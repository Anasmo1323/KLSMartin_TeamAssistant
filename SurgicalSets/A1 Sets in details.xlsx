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chnowave\Sales\KLS Martin\UPA\UPA\final A1\A1 plan\"/>
    </mc:Choice>
  </mc:AlternateContent>
  <xr:revisionPtr revIDLastSave="0" documentId="13_ncr:1_{B9E4E61C-633E-4D18-B692-59FB6ADDF7CD}" xr6:coauthVersionLast="47" xr6:coauthVersionMax="47" xr10:uidLastSave="{00000000-0000-0000-0000-000000000000}"/>
  <bookViews>
    <workbookView xWindow="-110" yWindow="-110" windowWidth="19420" windowHeight="10300" tabRatio="919" firstSheet="5" activeTab="11" xr2:uid="{DE915E56-9825-4C38-B901-CA63F54674EA}"/>
  </bookViews>
  <sheets>
    <sheet name="1.Self-Retain" sheetId="5" r:id="rId1"/>
    <sheet name="2.Aorta Set" sheetId="6" r:id="rId2"/>
    <sheet name="3.Pediatric Thoracic" sheetId="8" r:id="rId3"/>
    <sheet name="4.Extra Vascular" sheetId="7" r:id="rId4"/>
    <sheet name="5.Hysterectomy" sheetId="9" r:id="rId5"/>
    <sheet name="6.Caesarean Set" sheetId="10" r:id="rId6"/>
    <sheet name="9.Hand Surgery " sheetId="11" r:id="rId7"/>
    <sheet name="10.General Plastic" sheetId="12" r:id="rId8"/>
    <sheet name="11.Basic Instr." sheetId="3" r:id="rId9"/>
    <sheet name="12.Micro Instr. " sheetId="13" r:id="rId10"/>
    <sheet name="13.Maxillofac. Surg." sheetId="14" r:id="rId11"/>
    <sheet name="14.Maxillofacial Instrument" sheetId="15" r:id="rId12"/>
    <sheet name="15.Cleft Lip" sheetId="16" r:id="rId13"/>
    <sheet name="16.Craniofacial" sheetId="18" r:id="rId14"/>
    <sheet name="17.Rhinoplasty" sheetId="17" r:id="rId15"/>
    <sheet name="18.NEU Cervical Set" sheetId="19" r:id="rId16"/>
    <sheet name="19.Set for Septum " sheetId="20" r:id="rId17"/>
    <sheet name="20.Tracheostomy" sheetId="21" r:id="rId18"/>
    <sheet name="21.Anal Set." sheetId="22" r:id="rId19"/>
    <sheet name="22.NEU BRAIN SET." sheetId="23" r:id="rId20"/>
    <sheet name="23.NEU Lumber Set." sheetId="24" r:id="rId21"/>
    <sheet name="25.Basic Vascular Renal " sheetId="25" r:id="rId22"/>
  </sheets>
  <definedNames>
    <definedName name="_xlnm._FilterDatabase" localSheetId="7" hidden="1">'10.General Plastic'!$A$1:$I$77</definedName>
    <definedName name="_xlnm._FilterDatabase" localSheetId="8" hidden="1">'11.Basic Instr.'!$A$1:$H$1</definedName>
    <definedName name="_xlnm.Print_Area" localSheetId="0">'1.Self-Retain'!$A$1:$H$9</definedName>
    <definedName name="_xlnm.Print_Area" localSheetId="7">'10.General Plastic'!$A$1:$H$77</definedName>
    <definedName name="_xlnm.Print_Area" localSheetId="8">'11.Basic Instr.'!$A$1:$H$84</definedName>
    <definedName name="_xlnm.Print_Area" localSheetId="9">'12.Micro Instr. '!$A$1:$H$33</definedName>
    <definedName name="_xlnm.Print_Area" localSheetId="10">'13.Maxillofac. Surg.'!$A$1:$H$69</definedName>
    <definedName name="_xlnm.Print_Area" localSheetId="11">'14.Maxillofacial Instrument'!$A$1:$H$67</definedName>
    <definedName name="_xlnm.Print_Area" localSheetId="12">'15.Cleft Lip'!$A$1:$H$31</definedName>
    <definedName name="_xlnm.Print_Area" localSheetId="13">'16.Craniofacial'!$A$1:$H$30</definedName>
    <definedName name="_xlnm.Print_Area" localSheetId="14">'17.Rhinoplasty'!$A$1:$H$57</definedName>
    <definedName name="_xlnm.Print_Area" localSheetId="15">'18.NEU Cervical Set'!$A$1:$H$81</definedName>
    <definedName name="_xlnm.Print_Area" localSheetId="16">'19.Set for Septum '!$A$1:$H$55</definedName>
    <definedName name="_xlnm.Print_Area" localSheetId="1">'2.Aorta Set'!$A$1:$H$65</definedName>
    <definedName name="_xlnm.Print_Area" localSheetId="17">'20.Tracheostomy'!$A$1:$H$29</definedName>
    <definedName name="_xlnm.Print_Area" localSheetId="18">'21.Anal Set.'!$A$1:$H$31</definedName>
    <definedName name="_xlnm.Print_Area" localSheetId="19">'22.NEU BRAIN SET.'!$A$1:$H$113</definedName>
    <definedName name="_xlnm.Print_Area" localSheetId="20">'23.NEU Lumber Set.'!$A$1:$H$103</definedName>
    <definedName name="_xlnm.Print_Area" localSheetId="21">'25.Basic Vascular Renal '!$A$1:$H$76</definedName>
    <definedName name="_xlnm.Print_Area" localSheetId="2">'3.Pediatric Thoracic'!$A$1:$H$61</definedName>
    <definedName name="_xlnm.Print_Area" localSheetId="3">'4.Extra Vascular'!$A$1:$H$48</definedName>
    <definedName name="_xlnm.Print_Area" localSheetId="4">'5.Hysterectomy'!$A$1:$H$38</definedName>
    <definedName name="_xlnm.Print_Area" localSheetId="5">'6.Caesarean Set'!$A$1:$H$29</definedName>
    <definedName name="_xlnm.Print_Area" localSheetId="6">'9.Hand Surgery '!$A$1:$H$62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6" i="25" l="1"/>
  <c r="H103" i="24"/>
  <c r="H113" i="23"/>
  <c r="H31" i="22"/>
  <c r="H29" i="21"/>
  <c r="H55" i="20"/>
  <c r="H81" i="19"/>
  <c r="H57" i="17"/>
  <c r="H30" i="18"/>
  <c r="H31" i="16"/>
  <c r="H67" i="15"/>
  <c r="H69" i="14"/>
  <c r="H33" i="13"/>
  <c r="H77" i="12"/>
  <c r="H6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2" i="11"/>
  <c r="H29" i="10"/>
  <c r="H38" i="9"/>
  <c r="H48" i="7"/>
  <c r="H61" i="8"/>
  <c r="H65" i="6"/>
  <c r="H9" i="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2" i="25"/>
  <c r="H3" i="24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2" i="24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2" i="23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" i="21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2" i="20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2" i="19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2" i="17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2" i="18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2" i="14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2" i="16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2" i="15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" i="13"/>
  <c r="H4" i="13"/>
  <c r="H5" i="13"/>
  <c r="H6" i="13"/>
  <c r="H7" i="13"/>
  <c r="H8" i="13"/>
  <c r="H9" i="13"/>
  <c r="H10" i="13"/>
  <c r="H11" i="13"/>
  <c r="H12" i="13"/>
  <c r="H13" i="13"/>
  <c r="H14" i="13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2" i="12"/>
  <c r="H3" i="5"/>
  <c r="H4" i="5"/>
  <c r="H5" i="5"/>
  <c r="H6" i="5"/>
  <c r="H7" i="5"/>
  <c r="H8" i="5"/>
  <c r="H2" i="5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2" i="6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2" i="8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2" i="7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2" i="9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" i="10"/>
  <c r="H2" i="3"/>
  <c r="H3" i="3"/>
  <c r="H4" i="3"/>
  <c r="H5" i="3"/>
  <c r="H6" i="3"/>
  <c r="H7" i="3"/>
  <c r="H8" i="3"/>
  <c r="H9" i="3"/>
  <c r="H10" i="3"/>
  <c r="H11" i="3"/>
  <c r="H12" i="3"/>
  <c r="H13" i="3"/>
  <c r="H14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15" i="3"/>
  <c r="H16" i="3"/>
  <c r="H8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429B02-2EE6-4C0D-ABEA-B9DBAFBC7055}" keepAlive="1" name="Query - Original 1 - (for Issuing Carrier) - As Agreed - HAWB No_ H887461[2]" description="Connection to the 'Original 1 - (for Issuing Carrier) - As Agreed - HAWB No_ H887461[2]' query in the workbook." type="5" refreshedVersion="0" background="1">
    <dbPr connection="Provider=Microsoft.Mashup.OleDb.1;Data Source=$Workbook$;Location=&quot;Original 1 - (for Issuing Carrier) - As Agreed - HAWB No_ H887461[2]&quot;;Extended Properties=&quot;&quot;" command="SELECT * FROM [Original 1 - (for Issuing Carrier) - As Agreed - HAWB No_ H887461[2]]]"/>
  </connection>
</connections>
</file>

<file path=xl/sharedStrings.xml><?xml version="1.0" encoding="utf-8"?>
<sst xmlns="http://schemas.openxmlformats.org/spreadsheetml/2006/main" count="7423" uniqueCount="3498">
  <si>
    <t xml:space="preserve">1.Self-Retain. Mitral Valve Retrac. (3) </t>
  </si>
  <si>
    <t xml:space="preserve">   </t>
  </si>
  <si>
    <t>24-184-10-07</t>
  </si>
  <si>
    <t xml:space="preserve">Frame Multi-Retractor, 230 mm           </t>
  </si>
  <si>
    <t xml:space="preserve">DE </t>
  </si>
  <si>
    <t xml:space="preserve">PC </t>
  </si>
  <si>
    <t xml:space="preserve">628,88  </t>
  </si>
  <si>
    <t xml:space="preserve">1.886,64  </t>
  </si>
  <si>
    <t>24-184-12-07</t>
  </si>
  <si>
    <t xml:space="preserve">T-Double fixation blade f. 24-184-10-07 </t>
  </si>
  <si>
    <t xml:space="preserve">282,99  </t>
  </si>
  <si>
    <t xml:space="preserve">1.697,94  </t>
  </si>
  <si>
    <t>24-184-13-07</t>
  </si>
  <si>
    <t xml:space="preserve">T-Element f. 24-184-12-07               </t>
  </si>
  <si>
    <t xml:space="preserve">235,83  </t>
  </si>
  <si>
    <t xml:space="preserve">1.414,98  </t>
  </si>
  <si>
    <t>24-187-02-07</t>
  </si>
  <si>
    <t xml:space="preserve">fixation element universal, for Ø 6 mm  </t>
  </si>
  <si>
    <t xml:space="preserve">245,25  </t>
  </si>
  <si>
    <t xml:space="preserve">2.207,25  </t>
  </si>
  <si>
    <t>24-187-01-07</t>
  </si>
  <si>
    <t xml:space="preserve">Wire Valve, Cooley, small, 35X25 mm     </t>
  </si>
  <si>
    <t xml:space="preserve">64,15  </t>
  </si>
  <si>
    <t xml:space="preserve">192,45  </t>
  </si>
  <si>
    <t>24-187-03-07</t>
  </si>
  <si>
    <t xml:space="preserve">Wire valve, Cooley, medium, 40x36 mm    </t>
  </si>
  <si>
    <t>24-187-05-07</t>
  </si>
  <si>
    <t xml:space="preserve">Malleable blade, 76x25 mm               </t>
  </si>
  <si>
    <t xml:space="preserve">106,91  </t>
  </si>
  <si>
    <t xml:space="preserve">320,73  </t>
  </si>
  <si>
    <t xml:space="preserve">2.Aorta Set (11)                        </t>
  </si>
  <si>
    <t>12-192-18-07</t>
  </si>
  <si>
    <t xml:space="preserve">DRESSING FORCEPS, POTTS-SMITH, 18 CM    </t>
  </si>
  <si>
    <t xml:space="preserve">9,56  </t>
  </si>
  <si>
    <t xml:space="preserve">210,32  </t>
  </si>
  <si>
    <t>12-192-21-07</t>
  </si>
  <si>
    <t xml:space="preserve">DRESSING FORCEPS, POTTS-SMITH, 21 CM    </t>
  </si>
  <si>
    <t xml:space="preserve">11,25  </t>
  </si>
  <si>
    <t xml:space="preserve">247,50  </t>
  </si>
  <si>
    <t>12-192-25-07</t>
  </si>
  <si>
    <t xml:space="preserve">DRESSING FORCEPS, POTTS-SMITH, 25 CM    </t>
  </si>
  <si>
    <t xml:space="preserve">15,57  </t>
  </si>
  <si>
    <t xml:space="preserve">342,54  </t>
  </si>
  <si>
    <t>10-104-41-07</t>
  </si>
  <si>
    <t xml:space="preserve">SCALPEL HANDLE, NO. 4L, LONG, 21 CM     </t>
  </si>
  <si>
    <t xml:space="preserve">9,97  </t>
  </si>
  <si>
    <t xml:space="preserve">109,67  </t>
  </si>
  <si>
    <t>10-130-03-07</t>
  </si>
  <si>
    <t xml:space="preserve">SCALPEL HANDLE, NO. 3, 12 CM            </t>
  </si>
  <si>
    <t xml:space="preserve">3,70  </t>
  </si>
  <si>
    <t xml:space="preserve">40,70  </t>
  </si>
  <si>
    <t>13-331-14-07</t>
  </si>
  <si>
    <t xml:space="preserve">HAEM. FORCEPS, KELLY, CVD., 14 CM       </t>
  </si>
  <si>
    <t xml:space="preserve">MY </t>
  </si>
  <si>
    <t xml:space="preserve">12,16  </t>
  </si>
  <si>
    <t xml:space="preserve">3.210,24  </t>
  </si>
  <si>
    <t>13-414-14-07</t>
  </si>
  <si>
    <t xml:space="preserve">FORCEPS, KOCHER, 1X2 T., STR., 14.5 CM  </t>
  </si>
  <si>
    <t xml:space="preserve">38,98  </t>
  </si>
  <si>
    <t xml:space="preserve">1.715,12  </t>
  </si>
  <si>
    <t>13-415-14-07</t>
  </si>
  <si>
    <t xml:space="preserve">FORCEPS, KOCHER, 1X2 T., CVD., 14 CM    </t>
  </si>
  <si>
    <t xml:space="preserve">13,53  </t>
  </si>
  <si>
    <t xml:space="preserve">595,32  </t>
  </si>
  <si>
    <t>13-343-14-07</t>
  </si>
  <si>
    <t xml:space="preserve">FORCEPS, CRILE, 1X2 T., CVD., 14.5 CM   </t>
  </si>
  <si>
    <t xml:space="preserve">13,47  </t>
  </si>
  <si>
    <t xml:space="preserve">889,02  </t>
  </si>
  <si>
    <t>15-471-01-07</t>
  </si>
  <si>
    <t xml:space="preserve">RETRACTOR, KOCHER, 78X45 MM, 25 CM      </t>
  </si>
  <si>
    <t xml:space="preserve">60,40  </t>
  </si>
  <si>
    <t xml:space="preserve">664,40  </t>
  </si>
  <si>
    <t>13-881-09-07</t>
  </si>
  <si>
    <t xml:space="preserve">BULLDOG-TOWEL FORCEPS, JONES, 8.5 CM    </t>
  </si>
  <si>
    <t xml:space="preserve">10,10  </t>
  </si>
  <si>
    <t xml:space="preserve">333,30  </t>
  </si>
  <si>
    <t>13-915-08-07</t>
  </si>
  <si>
    <t xml:space="preserve">TOWEL FORCEPS, BACKHAUS, SHARP, 9 CM    </t>
  </si>
  <si>
    <t xml:space="preserve">11,64  </t>
  </si>
  <si>
    <t xml:space="preserve">384,12  </t>
  </si>
  <si>
    <t>13-915-13-07</t>
  </si>
  <si>
    <t xml:space="preserve">TOWEL FORCEPS, BACKHAUS, SHARP, 13 CM   </t>
  </si>
  <si>
    <t xml:space="preserve">13,03  </t>
  </si>
  <si>
    <t xml:space="preserve">859,98  </t>
  </si>
  <si>
    <t>13-341-14-07</t>
  </si>
  <si>
    <t xml:space="preserve">HAEMOST. FORCEPS, CRILE, CVD., 14,5 CM  </t>
  </si>
  <si>
    <t xml:space="preserve">802,56  </t>
  </si>
  <si>
    <t>24-573-02-07</t>
  </si>
  <si>
    <t xml:space="preserve">ATR. FORCEPS, PEDIATRIC, 14 CM          </t>
  </si>
  <si>
    <t xml:space="preserve">180,79  </t>
  </si>
  <si>
    <t xml:space="preserve">3.977,38  </t>
  </si>
  <si>
    <t>24-573-03-07</t>
  </si>
  <si>
    <t>24-573-04-07</t>
  </si>
  <si>
    <t xml:space="preserve">ATR. FORCEPS, PEDIATRIC, 13,5 CM        </t>
  </si>
  <si>
    <t>24-384-24-07</t>
  </si>
  <si>
    <t xml:space="preserve">ATR. FORCEPS, DE BAKEY, 2.7 MM, 25 CM   </t>
  </si>
  <si>
    <t xml:space="preserve">40,38  </t>
  </si>
  <si>
    <t xml:space="preserve">888,36  </t>
  </si>
  <si>
    <t>24-388-20-07</t>
  </si>
  <si>
    <t xml:space="preserve">ATR. FORCEPS, DE BAKEY, 2 MM, 20 CM     </t>
  </si>
  <si>
    <t xml:space="preserve">34,35  </t>
  </si>
  <si>
    <t xml:space="preserve">755,70  </t>
  </si>
  <si>
    <t>24-433-24-07</t>
  </si>
  <si>
    <t>ATR. AORTA FCPS., BAHNSON, CVD., 24.5 CM</t>
  </si>
  <si>
    <t xml:space="preserve">114,98  </t>
  </si>
  <si>
    <t xml:space="preserve">2.529,56  </t>
  </si>
  <si>
    <t>24-344-30-07</t>
  </si>
  <si>
    <t xml:space="preserve">ATR. AORTA FORCEPS, DE BAKEY, 30 CM     </t>
  </si>
  <si>
    <t xml:space="preserve">194,87  </t>
  </si>
  <si>
    <t xml:space="preserve">4.287,14  </t>
  </si>
  <si>
    <t>24-354-32-07</t>
  </si>
  <si>
    <t xml:space="preserve">Atr. aortic forceps, Cooley, 31.5 cm    </t>
  </si>
  <si>
    <t xml:space="preserve">117,33  </t>
  </si>
  <si>
    <t xml:space="preserve">2.581,26  </t>
  </si>
  <si>
    <t>24-425-20-07</t>
  </si>
  <si>
    <t>ATR. TANGENTIAL FORCEPS, SATINSKY, 22 CM</t>
  </si>
  <si>
    <t xml:space="preserve">119,58  </t>
  </si>
  <si>
    <t xml:space="preserve">1.315,38  </t>
  </si>
  <si>
    <t>24-425-24-07</t>
  </si>
  <si>
    <t>ATR. TANGENTIAL FORCEPS, SATINSKY, 26 CM</t>
  </si>
  <si>
    <t xml:space="preserve">123,03  </t>
  </si>
  <si>
    <t xml:space="preserve">2.706,66  </t>
  </si>
  <si>
    <t>24-472-17-07</t>
  </si>
  <si>
    <t>ATR. FORCEPS, COOLEY, SLIGHT ANG.,16,5CM</t>
  </si>
  <si>
    <t xml:space="preserve">94,46  </t>
  </si>
  <si>
    <t xml:space="preserve">2.078,12  </t>
  </si>
  <si>
    <t>24-472-16-07</t>
  </si>
  <si>
    <t>ATR. FORCEPS, COOLEY, MEDIUM ANG., 16 CM</t>
  </si>
  <si>
    <t xml:space="preserve">1.039,06  </t>
  </si>
  <si>
    <t>24-471-16-07</t>
  </si>
  <si>
    <t xml:space="preserve">ATR. FORCEPS, COOLEY, DBL. CVD., 16 CM  </t>
  </si>
  <si>
    <t xml:space="preserve">95,29  </t>
  </si>
  <si>
    <t xml:space="preserve">1.048,19  </t>
  </si>
  <si>
    <t>15-735-20-07</t>
  </si>
  <si>
    <t xml:space="preserve">WOUNDSPREADER, BLUNT, 3X4 T., 20 CM     </t>
  </si>
  <si>
    <t xml:space="preserve">105,87  </t>
  </si>
  <si>
    <t xml:space="preserve">2.329,14  </t>
  </si>
  <si>
    <t>15-771-20-07</t>
  </si>
  <si>
    <t xml:space="preserve">SPREADER, ADSON, BLUNT, 3X4 T., 21 CM   </t>
  </si>
  <si>
    <t xml:space="preserve">145,96  </t>
  </si>
  <si>
    <t xml:space="preserve">3.211,12  </t>
  </si>
  <si>
    <t>09-006-63-07</t>
  </si>
  <si>
    <t>Dissect./Ligature fcps, Kantrowitz, 20cm</t>
  </si>
  <si>
    <t xml:space="preserve">102,84  </t>
  </si>
  <si>
    <t xml:space="preserve">1.131,24  </t>
  </si>
  <si>
    <t>09-006-64-07</t>
  </si>
  <si>
    <t>Dissect./Ligature fcps, Kantrowitz, 24cm</t>
  </si>
  <si>
    <t xml:space="preserve">115,11  </t>
  </si>
  <si>
    <t xml:space="preserve">1.266,21  </t>
  </si>
  <si>
    <t>11-280-18-07</t>
  </si>
  <si>
    <t>Scissors, diss.,Metzenb.,bl/bl,str.,18cm</t>
  </si>
  <si>
    <t xml:space="preserve">12,49  </t>
  </si>
  <si>
    <t xml:space="preserve">412,17  </t>
  </si>
  <si>
    <t>11-330-18-07</t>
  </si>
  <si>
    <t xml:space="preserve">DISSECTING SCISSORS, FINE, STR., 18 CM  </t>
  </si>
  <si>
    <t xml:space="preserve">24,74  </t>
  </si>
  <si>
    <t xml:space="preserve">816,42  </t>
  </si>
  <si>
    <t>11-280-23-07</t>
  </si>
  <si>
    <t>Scissors, diss.,Metzenb.,bl/bl,str.,23cm</t>
  </si>
  <si>
    <t xml:space="preserve">30,61  </t>
  </si>
  <si>
    <t xml:space="preserve">1.010,13  </t>
  </si>
  <si>
    <t>11-331-23-07</t>
  </si>
  <si>
    <t xml:space="preserve">DISSECT. SCISSORS, FINE, CVD., 23 CM    </t>
  </si>
  <si>
    <t xml:space="preserve">34,76  </t>
  </si>
  <si>
    <t xml:space="preserve">1.147,08  </t>
  </si>
  <si>
    <t>11-285-23-07</t>
  </si>
  <si>
    <t xml:space="preserve">DISSECTING SCISSORS, CVD., 23 CM        </t>
  </si>
  <si>
    <t xml:space="preserve">32,56  </t>
  </si>
  <si>
    <t xml:space="preserve">1.074,48  </t>
  </si>
  <si>
    <t>11-181-17-07</t>
  </si>
  <si>
    <t xml:space="preserve">SCISSORS, MAYO-STILLE, CVD., 17 CM      </t>
  </si>
  <si>
    <t xml:space="preserve">24,98  </t>
  </si>
  <si>
    <t xml:space="preserve">549,56  </t>
  </si>
  <si>
    <t>11-395-19-07</t>
  </si>
  <si>
    <t xml:space="preserve">SCISSORS, ANGLED 25°, 19 CM             </t>
  </si>
  <si>
    <t xml:space="preserve">53,11  </t>
  </si>
  <si>
    <t xml:space="preserve">1.168,42  </t>
  </si>
  <si>
    <t>11-394-19-07</t>
  </si>
  <si>
    <t xml:space="preserve">SCISSORS, ANGLED 40°, 18.5 CM           </t>
  </si>
  <si>
    <t xml:space="preserve">584,21  </t>
  </si>
  <si>
    <t>11-390-45-07</t>
  </si>
  <si>
    <t xml:space="preserve">VASCULAR SCISSORS, 45°, 16.5 CM         </t>
  </si>
  <si>
    <t xml:space="preserve">68,74  </t>
  </si>
  <si>
    <t xml:space="preserve">756,14  </t>
  </si>
  <si>
    <t>09-006-08-07</t>
  </si>
  <si>
    <t>TC-Needle holder, Crile-Wood, str., 18 c</t>
  </si>
  <si>
    <t xml:space="preserve">72,28  </t>
  </si>
  <si>
    <t xml:space="preserve">1.590,16  </t>
  </si>
  <si>
    <t>20-646-18-07</t>
  </si>
  <si>
    <t xml:space="preserve">TC-NEEDLEHOLDER, DE BAKEY, 18 CM        </t>
  </si>
  <si>
    <t xml:space="preserve">48,30  </t>
  </si>
  <si>
    <t xml:space="preserve">1.062,60  </t>
  </si>
  <si>
    <t>20-638-20-07</t>
  </si>
  <si>
    <t xml:space="preserve">TC-NEEDLEHOLDER, CRILE-WOOD, 20.5 CM    </t>
  </si>
  <si>
    <t xml:space="preserve">54,35  </t>
  </si>
  <si>
    <t xml:space="preserve">1.195,70  </t>
  </si>
  <si>
    <t>20-390-18-07</t>
  </si>
  <si>
    <t xml:space="preserve">NEEDLEHOLDER, MAYO-HEGAR, 18.5 CM       </t>
  </si>
  <si>
    <t xml:space="preserve">15,00  </t>
  </si>
  <si>
    <t xml:space="preserve">495,00  </t>
  </si>
  <si>
    <t>20-654-18-07</t>
  </si>
  <si>
    <t>TC-NEEDLEHOLDER, RYDER-VASCULAR, 17.5 CM</t>
  </si>
  <si>
    <t xml:space="preserve">69,32  </t>
  </si>
  <si>
    <t xml:space="preserve">1.525,04  </t>
  </si>
  <si>
    <t>20-390-20-07</t>
  </si>
  <si>
    <t xml:space="preserve">NEEDLEHOLDER, MAYO-HEGAR, 20.5 CM       </t>
  </si>
  <si>
    <t xml:space="preserve">16,10  </t>
  </si>
  <si>
    <t xml:space="preserve">354,20  </t>
  </si>
  <si>
    <t>20-654-20-07</t>
  </si>
  <si>
    <t xml:space="preserve">TC-NEEDLEHOLDER, RYDER-VASCULAR, 20 CM  </t>
  </si>
  <si>
    <t xml:space="preserve">72,40  </t>
  </si>
  <si>
    <t xml:space="preserve">796,40  </t>
  </si>
  <si>
    <t>20-408-27-07</t>
  </si>
  <si>
    <t xml:space="preserve">NEEDLEHOLDER, MASSON, HEAVY, 26.5 CM    </t>
  </si>
  <si>
    <t xml:space="preserve">42,75  </t>
  </si>
  <si>
    <t xml:space="preserve">940,50  </t>
  </si>
  <si>
    <t>20-648-27-07</t>
  </si>
  <si>
    <t xml:space="preserve">TC-NEEDLEHOLDER, MASSON, 26.5 CM        </t>
  </si>
  <si>
    <t xml:space="preserve">68,04  </t>
  </si>
  <si>
    <t xml:space="preserve">1.496,88  </t>
  </si>
  <si>
    <t>20-654-23-07</t>
  </si>
  <si>
    <t>TC-NEEDLEHOLDER, RYDER-VASCULAR, 22.5 CM</t>
  </si>
  <si>
    <t xml:space="preserve">92,52  </t>
  </si>
  <si>
    <t xml:space="preserve">3.053,16  </t>
  </si>
  <si>
    <t>15-920-10-07</t>
  </si>
  <si>
    <t xml:space="preserve">marTract bracket, operating table       </t>
  </si>
  <si>
    <t xml:space="preserve">2.023,10  </t>
  </si>
  <si>
    <t xml:space="preserve">22.254,10  </t>
  </si>
  <si>
    <t>15-920-30-07</t>
  </si>
  <si>
    <t xml:space="preserve">marTract transverse rod f. 15-920-34-07 </t>
  </si>
  <si>
    <t xml:space="preserve">322,33  </t>
  </si>
  <si>
    <t xml:space="preserve">3.545,63  </t>
  </si>
  <si>
    <t>15-920-34-07</t>
  </si>
  <si>
    <t xml:space="preserve">marTract ball mount for holding arms    </t>
  </si>
  <si>
    <t xml:space="preserve">1.506,54  </t>
  </si>
  <si>
    <t xml:space="preserve">16.571,94  </t>
  </si>
  <si>
    <t>15-920-21-07</t>
  </si>
  <si>
    <t xml:space="preserve">marTract holding arm for kidney add-on  </t>
  </si>
  <si>
    <t xml:space="preserve">644,59  </t>
  </si>
  <si>
    <t xml:space="preserve">14.180,98  </t>
  </si>
  <si>
    <t>15-920-35-07</t>
  </si>
  <si>
    <t xml:space="preserve">marTract fixing clip for retractor      </t>
  </si>
  <si>
    <t xml:space="preserve">576,89  </t>
  </si>
  <si>
    <t xml:space="preserve">38.074,74  </t>
  </si>
  <si>
    <t>15-920-40-07</t>
  </si>
  <si>
    <t xml:space="preserve">marTract blade holder, fixed            </t>
  </si>
  <si>
    <t xml:space="preserve">122,80  </t>
  </si>
  <si>
    <t xml:space="preserve">8.104,80  </t>
  </si>
  <si>
    <t>15-920-42-07</t>
  </si>
  <si>
    <t xml:space="preserve">marTract blade holder, movable          </t>
  </si>
  <si>
    <t xml:space="preserve">365,19  </t>
  </si>
  <si>
    <t xml:space="preserve">4.017,09  </t>
  </si>
  <si>
    <t>15-921-13-07</t>
  </si>
  <si>
    <t xml:space="preserve">marTract blade, flex., 160x75mm         </t>
  </si>
  <si>
    <t xml:space="preserve">127,21  </t>
  </si>
  <si>
    <t xml:space="preserve">1.399,31  </t>
  </si>
  <si>
    <t>15-921-51-07</t>
  </si>
  <si>
    <t xml:space="preserve">marTract Langenbeck, blade, 150x50mm    </t>
  </si>
  <si>
    <t xml:space="preserve">195,95  </t>
  </si>
  <si>
    <t xml:space="preserve">8.621,80  </t>
  </si>
  <si>
    <t>15-921-71-07</t>
  </si>
  <si>
    <t xml:space="preserve">marTract Deaver, blade, 200x70mm        </t>
  </si>
  <si>
    <t xml:space="preserve">186,66  </t>
  </si>
  <si>
    <t xml:space="preserve">2.053,26  </t>
  </si>
  <si>
    <t>55-804-57-01</t>
  </si>
  <si>
    <t xml:space="preserve">marTray, 1/1, 532x251x94 mm             </t>
  </si>
  <si>
    <t xml:space="preserve">82,27  </t>
  </si>
  <si>
    <t xml:space="preserve">2.714,91  </t>
  </si>
  <si>
    <t>55-805-58-01</t>
  </si>
  <si>
    <t xml:space="preserve">Lid f. tray 1/1, 535x255 mm             </t>
  </si>
  <si>
    <t xml:space="preserve">59,01  </t>
  </si>
  <si>
    <t xml:space="preserve">1.947,33  </t>
  </si>
  <si>
    <t xml:space="preserve">3.Pediatric Thoracic Surgery Set. (1)   </t>
  </si>
  <si>
    <t>24-168-90-07</t>
  </si>
  <si>
    <t xml:space="preserve">RIB SPREADER, HAIGHT, 30X30X120 MM      </t>
  </si>
  <si>
    <t xml:space="preserve">296,08  </t>
  </si>
  <si>
    <t>24-177-75-07</t>
  </si>
  <si>
    <t xml:space="preserve">RIB SPREADER, FINOCH.-BABY, 15X20X75 MM </t>
  </si>
  <si>
    <t xml:space="preserve">254,59  </t>
  </si>
  <si>
    <t>24-220-14-07</t>
  </si>
  <si>
    <t xml:space="preserve">RIB CONTRACTOR, BAILEY, 15.5 CM         </t>
  </si>
  <si>
    <t xml:space="preserve">142,31  </t>
  </si>
  <si>
    <t>23-450-03-07</t>
  </si>
  <si>
    <t xml:space="preserve">Raspatory, Semb, NO. 3, 13 MM, 18 CM    </t>
  </si>
  <si>
    <t xml:space="preserve">57,30  </t>
  </si>
  <si>
    <t>23-441-17-07</t>
  </si>
  <si>
    <t xml:space="preserve">RIB RASPATORY, DOYEN, R., ADULT, 17 CM  </t>
  </si>
  <si>
    <t xml:space="preserve">37,05  </t>
  </si>
  <si>
    <t>23-443-17-07</t>
  </si>
  <si>
    <t xml:space="preserve">RIB RASPATORY, DOYEN, L., ADULT, 17 CM  </t>
  </si>
  <si>
    <t>24-231-30-01</t>
  </si>
  <si>
    <t xml:space="preserve">LUNG SPATULA, ALLISON, 29.5 CM          </t>
  </si>
  <si>
    <t xml:space="preserve">76,70  </t>
  </si>
  <si>
    <t>24-231-32-01</t>
  </si>
  <si>
    <t xml:space="preserve">LUNG SPATULA, ALLISON, 33 CM            </t>
  </si>
  <si>
    <t xml:space="preserve">80,33  </t>
  </si>
  <si>
    <t>15-971-00-01</t>
  </si>
  <si>
    <t>ABDOM. SPATULA, HABERER, 16/25 MM, 20 CM</t>
  </si>
  <si>
    <t xml:space="preserve">14,04  </t>
  </si>
  <si>
    <t xml:space="preserve">28,08  </t>
  </si>
  <si>
    <t>13-443-01-07</t>
  </si>
  <si>
    <t xml:space="preserve">DISS. FORCEPS, OVERHOLT, NO. 1, 20.5 CM </t>
  </si>
  <si>
    <t xml:space="preserve">34,93  </t>
  </si>
  <si>
    <t xml:space="preserve">69,86  </t>
  </si>
  <si>
    <t>13-122-10-07</t>
  </si>
  <si>
    <t xml:space="preserve">ATR. BULLDOG CLAMP, STR., 10 MM         </t>
  </si>
  <si>
    <t xml:space="preserve">75,66  </t>
  </si>
  <si>
    <t xml:space="preserve">302,64  </t>
  </si>
  <si>
    <t>13-125-14-07</t>
  </si>
  <si>
    <t xml:space="preserve">Atr. bulldog clamp, cvd., 14 mm         </t>
  </si>
  <si>
    <t xml:space="preserve">69,51  </t>
  </si>
  <si>
    <t xml:space="preserve">278,04  </t>
  </si>
  <si>
    <t>30-210-20-07</t>
  </si>
  <si>
    <t xml:space="preserve">TISSUE FORCEPS, DUVAL, SLIM, 20.5 CM    </t>
  </si>
  <si>
    <t xml:space="preserve">85,96  </t>
  </si>
  <si>
    <t xml:space="preserve">171,92  </t>
  </si>
  <si>
    <t>13-461-02-07</t>
  </si>
  <si>
    <t xml:space="preserve">DISSECTING FORCEPS, RUMEL, NO. 2, 24 CM </t>
  </si>
  <si>
    <t xml:space="preserve">47,63  </t>
  </si>
  <si>
    <t>24-478-16-07</t>
  </si>
  <si>
    <t xml:space="preserve">ANASTOM. FORCEPS, COOLEY-DERRA, 16.5 CM </t>
  </si>
  <si>
    <t xml:space="preserve">110,14  </t>
  </si>
  <si>
    <t xml:space="preserve">220,28  </t>
  </si>
  <si>
    <t>24-478-18-07</t>
  </si>
  <si>
    <t xml:space="preserve">ANASTOM. FORCEPS, COOLEY-DERRA, 17.5 CM </t>
  </si>
  <si>
    <t>13-051-14-07</t>
  </si>
  <si>
    <t xml:space="preserve">CLIP APPLYING FORCEPS, W. LOCK, 14.5 CM </t>
  </si>
  <si>
    <t xml:space="preserve">67,22  </t>
  </si>
  <si>
    <t>13-052-04-07</t>
  </si>
  <si>
    <t xml:space="preserve">VASCULAR CLIP, BIEMER, 6 MM             </t>
  </si>
  <si>
    <t xml:space="preserve">30,67  </t>
  </si>
  <si>
    <t>13-052-05-07</t>
  </si>
  <si>
    <t xml:space="preserve">VASCULAR CLIP, BIEMER, 9 MM             </t>
  </si>
  <si>
    <t xml:space="preserve">22,59  </t>
  </si>
  <si>
    <t>13-053-05-07</t>
  </si>
  <si>
    <t xml:space="preserve">VASCULAR CLIP, BIEMER, 9 MM, SLIM       </t>
  </si>
  <si>
    <t>12-254-17-07</t>
  </si>
  <si>
    <t xml:space="preserve">TC-DRESSING FORCEPS, CUSHING, 17.5 CM   </t>
  </si>
  <si>
    <t xml:space="preserve">42,48  </t>
  </si>
  <si>
    <t xml:space="preserve">84,96  </t>
  </si>
  <si>
    <t xml:space="preserve">52,04  </t>
  </si>
  <si>
    <t>24-425-15-07</t>
  </si>
  <si>
    <t>ATR. VASCULAR FORCEPS, SATINSKY, 15.5 CM</t>
  </si>
  <si>
    <t xml:space="preserve">67,65  </t>
  </si>
  <si>
    <t xml:space="preserve">135,30  </t>
  </si>
  <si>
    <t>24-344-24-07</t>
  </si>
  <si>
    <t xml:space="preserve">ATR. AORTA FORCEPS, WYLIE, 24 CM        </t>
  </si>
  <si>
    <t xml:space="preserve">192,53  </t>
  </si>
  <si>
    <t xml:space="preserve">15,78  </t>
  </si>
  <si>
    <t>15-220-01-07</t>
  </si>
  <si>
    <t>RETRACTOR, VOLKMANN, SH., 1-PR., 22.5 CM</t>
  </si>
  <si>
    <t xml:space="preserve">23,10  </t>
  </si>
  <si>
    <t xml:space="preserve">46,20  </t>
  </si>
  <si>
    <t>23-215-19-07</t>
  </si>
  <si>
    <t xml:space="preserve">MALLET, COTTLE, 300 GR., 19 CM          </t>
  </si>
  <si>
    <t xml:space="preserve">70,71  </t>
  </si>
  <si>
    <t>11-650-14-07</t>
  </si>
  <si>
    <t>SC Scissors, chir., sh/bl, str., 14.5 cm</t>
  </si>
  <si>
    <t xml:space="preserve">23,37  </t>
  </si>
  <si>
    <t>13-278-17-07</t>
  </si>
  <si>
    <t xml:space="preserve">FORCEPS, COLLIN, OVAL JAW, 17 CM        </t>
  </si>
  <si>
    <t xml:space="preserve">53,27  </t>
  </si>
  <si>
    <t>24-151-24-07</t>
  </si>
  <si>
    <t xml:space="preserve">STERNAL CHISEL, LEBSCHE, 24.5 CM        </t>
  </si>
  <si>
    <t xml:space="preserve">100,90  </t>
  </si>
  <si>
    <t>30-212-23-07</t>
  </si>
  <si>
    <t xml:space="preserve">TISSUE FORCEPS, DUVAL, WIDE, 23 CM      </t>
  </si>
  <si>
    <t xml:space="preserve">94,17  </t>
  </si>
  <si>
    <t>23-450-01-07</t>
  </si>
  <si>
    <t xml:space="preserve">Raspatory, Semb, NO. 1, 12 MM, 17,5 CM  </t>
  </si>
  <si>
    <t xml:space="preserve">114,60  </t>
  </si>
  <si>
    <t>48-318-16-07</t>
  </si>
  <si>
    <t xml:space="preserve">PERFORATOR, TESSIER, Ø 4.5 MM, 16.5 CM  </t>
  </si>
  <si>
    <t xml:space="preserve">68,97  </t>
  </si>
  <si>
    <t>22-519-02-07</t>
  </si>
  <si>
    <t>FLAT NOSE PLIERS, W. CROSS GROOVE, 17 CM</t>
  </si>
  <si>
    <t xml:space="preserve">33,66  </t>
  </si>
  <si>
    <t>22-519-01-07</t>
  </si>
  <si>
    <t xml:space="preserve">FLAT NOSE PLIERS, SERR. JAW, 17 CM      </t>
  </si>
  <si>
    <t xml:space="preserve">31,11  </t>
  </si>
  <si>
    <t>13-451-13-07</t>
  </si>
  <si>
    <t xml:space="preserve">DISS. FORCEPS, GEMINI, STR. CVD., 13 CM </t>
  </si>
  <si>
    <t xml:space="preserve">22,45  </t>
  </si>
  <si>
    <t>13-451-18-07</t>
  </si>
  <si>
    <t xml:space="preserve">DISS. FORCEPS, GEMINI, STR. CVD., 18 CM </t>
  </si>
  <si>
    <t xml:space="preserve">29,98  </t>
  </si>
  <si>
    <t>13-451-23-07</t>
  </si>
  <si>
    <t xml:space="preserve">DISS. FORCEPS, GEMINI, STR. CVD., 23 CM </t>
  </si>
  <si>
    <t xml:space="preserve">37,52  </t>
  </si>
  <si>
    <t xml:space="preserve">80,62  </t>
  </si>
  <si>
    <t xml:space="preserve">57,83  </t>
  </si>
  <si>
    <t xml:space="preserve">4.Extra Vascular Pediatric Set. (5)     </t>
  </si>
  <si>
    <t>17-412-30-07</t>
  </si>
  <si>
    <t xml:space="preserve">Ruler, mm/inch, 30 cm                   </t>
  </si>
  <si>
    <t xml:space="preserve">2,12  </t>
  </si>
  <si>
    <t xml:space="preserve">10,60  </t>
  </si>
  <si>
    <t>11-364-18-07</t>
  </si>
  <si>
    <t xml:space="preserve">Scissor, Diss., Reynolds, str., 18 cm   </t>
  </si>
  <si>
    <t xml:space="preserve">33,48  </t>
  </si>
  <si>
    <t xml:space="preserve">167,40  </t>
  </si>
  <si>
    <t xml:space="preserve">32,51  </t>
  </si>
  <si>
    <t xml:space="preserve">162,55  </t>
  </si>
  <si>
    <t>11-459-17-07</t>
  </si>
  <si>
    <t xml:space="preserve">SCISSORS, TOENNIS-ADSON, CVD., 17.5 CM  </t>
  </si>
  <si>
    <t xml:space="preserve">29,21  </t>
  </si>
  <si>
    <t xml:space="preserve">146,05  </t>
  </si>
  <si>
    <t xml:space="preserve">24,70  </t>
  </si>
  <si>
    <t xml:space="preserve">123,50  </t>
  </si>
  <si>
    <t>11-319-19-07</t>
  </si>
  <si>
    <t>DISSECT. SCISSORS, THOREK, CVD., 18.5 CM</t>
  </si>
  <si>
    <t xml:space="preserve">51,08  </t>
  </si>
  <si>
    <t xml:space="preserve">255,40  </t>
  </si>
  <si>
    <t xml:space="preserve">53,04  </t>
  </si>
  <si>
    <t xml:space="preserve">265,20  </t>
  </si>
  <si>
    <t>11-393-19-07</t>
  </si>
  <si>
    <t xml:space="preserve">SCISSORS, ANGLED 60°, 18 CM             </t>
  </si>
  <si>
    <t>12-258-14-07</t>
  </si>
  <si>
    <t xml:space="preserve">TC-Dress. forceps, Potts-Smith, 14.5 cm </t>
  </si>
  <si>
    <t xml:space="preserve">45,83  </t>
  </si>
  <si>
    <t xml:space="preserve">229,15  </t>
  </si>
  <si>
    <t>12-258-18-07</t>
  </si>
  <si>
    <t xml:space="preserve">TC-Dress. forceps, Potts-Smith, 18.5 cm </t>
  </si>
  <si>
    <t xml:space="preserve">42,52  </t>
  </si>
  <si>
    <t xml:space="preserve">212,60  </t>
  </si>
  <si>
    <t>32-741-32-07</t>
  </si>
  <si>
    <t xml:space="preserve">UTERINE POLYPUS FORCEPS, KELLY, 31.5 CM </t>
  </si>
  <si>
    <t xml:space="preserve">66,05  </t>
  </si>
  <si>
    <t xml:space="preserve">330,25  </t>
  </si>
  <si>
    <t>13-311-12-07</t>
  </si>
  <si>
    <t xml:space="preserve">HAEM. FORCEPS, MOSQUITO, CVD., 12 CM    </t>
  </si>
  <si>
    <t xml:space="preserve">12,82  </t>
  </si>
  <si>
    <t xml:space="preserve">384,60  </t>
  </si>
  <si>
    <t>13-461-03-07</t>
  </si>
  <si>
    <t xml:space="preserve">DISSECT. FORCEPS, RUMEL, NO. 3, 23.5 CM </t>
  </si>
  <si>
    <t xml:space="preserve">48,54  </t>
  </si>
  <si>
    <t xml:space="preserve">242,70  </t>
  </si>
  <si>
    <t>13-461-05-07</t>
  </si>
  <si>
    <t xml:space="preserve">DISSECTING FORCEPS, RUMEL, NO. 5, 24 CM </t>
  </si>
  <si>
    <t>20-030-21-07</t>
  </si>
  <si>
    <t>Micro needleh., str.,w.lock, 1,2mm, 21cm</t>
  </si>
  <si>
    <t xml:space="preserve">169,44  </t>
  </si>
  <si>
    <t xml:space="preserve">1.694,40  </t>
  </si>
  <si>
    <t>20-642-20-07</t>
  </si>
  <si>
    <t xml:space="preserve">TC-NEEDLEHOLDER, MAYO-HEGAR, 20 CM      </t>
  </si>
  <si>
    <t xml:space="preserve">45,20  </t>
  </si>
  <si>
    <t xml:space="preserve">452,00  </t>
  </si>
  <si>
    <t>20-620-14-07</t>
  </si>
  <si>
    <t xml:space="preserve">TC-MICRO NEEDLEHOLDER, SMOOTH, 14.5 CM  </t>
  </si>
  <si>
    <t xml:space="preserve">172,76  </t>
  </si>
  <si>
    <t xml:space="preserve">863,80  </t>
  </si>
  <si>
    <t>09-006-16-07</t>
  </si>
  <si>
    <t>Retractor, Mayo-Adams, 2x2T., bl., 17 cm</t>
  </si>
  <si>
    <t xml:space="preserve">105,38  </t>
  </si>
  <si>
    <t xml:space="preserve">1.053,80  </t>
  </si>
  <si>
    <t xml:space="preserve">34,30  </t>
  </si>
  <si>
    <t xml:space="preserve">343,00  </t>
  </si>
  <si>
    <t xml:space="preserve">40,33  </t>
  </si>
  <si>
    <t xml:space="preserve">403,30  </t>
  </si>
  <si>
    <t>24-392-07-07</t>
  </si>
  <si>
    <t xml:space="preserve">BULLDOG CLAMP, DE BAKEY, STR., 8 cm     </t>
  </si>
  <si>
    <t xml:space="preserve">61,48  </t>
  </si>
  <si>
    <t xml:space="preserve">307,40  </t>
  </si>
  <si>
    <t>24-393-08-07</t>
  </si>
  <si>
    <t xml:space="preserve">BULLDOG CLAMP, DE BAKEY, CVD., 8,5 CM   </t>
  </si>
  <si>
    <t xml:space="preserve">68,63  </t>
  </si>
  <si>
    <t xml:space="preserve">343,15  </t>
  </si>
  <si>
    <t>24-400-22-07</t>
  </si>
  <si>
    <t xml:space="preserve">ATR. FCPS., POTTS, STR., 55 MM, 22.5 CM </t>
  </si>
  <si>
    <t xml:space="preserve">103,75  </t>
  </si>
  <si>
    <t xml:space="preserve">518,75  </t>
  </si>
  <si>
    <t>24-340-18-07</t>
  </si>
  <si>
    <t xml:space="preserve">ATR. FORCEPS, DALE, CVD., 18 CM         </t>
  </si>
  <si>
    <t xml:space="preserve">252,93  </t>
  </si>
  <si>
    <t xml:space="preserve">1.264,65  </t>
  </si>
  <si>
    <t>24-433-25-07</t>
  </si>
  <si>
    <t>ATR. AORTA FCPS., BAHNSON, CVD., 25.5 CM</t>
  </si>
  <si>
    <t xml:space="preserve">114,82  </t>
  </si>
  <si>
    <t xml:space="preserve">574,10  </t>
  </si>
  <si>
    <t>24-417-26-07</t>
  </si>
  <si>
    <t xml:space="preserve">ATR. ANEURYSM FORCEPS, DE BAKEY, 26 CM  </t>
  </si>
  <si>
    <t xml:space="preserve">111,40  </t>
  </si>
  <si>
    <t xml:space="preserve">557,00  </t>
  </si>
  <si>
    <t>24-417-27-07</t>
  </si>
  <si>
    <t xml:space="preserve">ATR. ANEURYSM FORCEPS, DE BAKEY, 27 CM  </t>
  </si>
  <si>
    <t xml:space="preserve">119,40  </t>
  </si>
  <si>
    <t xml:space="preserve">597,00  </t>
  </si>
  <si>
    <t xml:space="preserve">122,85  </t>
  </si>
  <si>
    <t xml:space="preserve">614,25  </t>
  </si>
  <si>
    <t>24-425-25-07</t>
  </si>
  <si>
    <t>ATR. TANGENT. FORCEPS, SATINSKY, 26.5 CM</t>
  </si>
  <si>
    <t xml:space="preserve">128,51  </t>
  </si>
  <si>
    <t xml:space="preserve">642,55  </t>
  </si>
  <si>
    <t>24-558-33-07</t>
  </si>
  <si>
    <t>TOURNIQUET, RUMEL-BELM., 8.8 MM, 30.5 CM</t>
  </si>
  <si>
    <t>24-556-33-07</t>
  </si>
  <si>
    <t>TOURNIQUET, RUMEL-BELMONT, 4.2 MM, 27 CM</t>
  </si>
  <si>
    <t xml:space="preserve">137,93  </t>
  </si>
  <si>
    <t xml:space="preserve">689,65  </t>
  </si>
  <si>
    <t>56-673-25-01</t>
  </si>
  <si>
    <t xml:space="preserve">KIDNEY DISH, 250X140X40 MM              </t>
  </si>
  <si>
    <t xml:space="preserve">SE </t>
  </si>
  <si>
    <t xml:space="preserve">7,70  </t>
  </si>
  <si>
    <t xml:space="preserve">38,50  </t>
  </si>
  <si>
    <t>15-850-00-07</t>
  </si>
  <si>
    <t xml:space="preserve">ABD. RETRACTOR, BALFOUR-BABY, 12.5 CM   </t>
  </si>
  <si>
    <t xml:space="preserve">149,99  </t>
  </si>
  <si>
    <t xml:space="preserve">749,95  </t>
  </si>
  <si>
    <t>16-251-02-01</t>
  </si>
  <si>
    <t xml:space="preserve">RING STRIPPER, ROUND, Ø 2.0 MM, 50 CM   </t>
  </si>
  <si>
    <t xml:space="preserve">17,77  </t>
  </si>
  <si>
    <t xml:space="preserve">88,85  </t>
  </si>
  <si>
    <t>16-251-04-01</t>
  </si>
  <si>
    <t xml:space="preserve">RING STRIPPER, ROUND, Ø 4.0 MM, 50 CM   </t>
  </si>
  <si>
    <t>16-251-06-01</t>
  </si>
  <si>
    <t xml:space="preserve">RING STRIPPER, ROUND, Ø 6.0 MM, 50 CM   </t>
  </si>
  <si>
    <t>16-251-07-01</t>
  </si>
  <si>
    <t xml:space="preserve">RING STRIPPER, ROUND, Ø 7.0 MM, 50 CM   </t>
  </si>
  <si>
    <t>16-251-08-01</t>
  </si>
  <si>
    <t xml:space="preserve">RING STRIPPER, ROUND, Ø 8 MM, 50 CM     </t>
  </si>
  <si>
    <t>16-251-10-01</t>
  </si>
  <si>
    <t xml:space="preserve">RING STRIPPER, ROUND, Ø 10.0 MM, 50 CM  </t>
  </si>
  <si>
    <t>16-251-12-01</t>
  </si>
  <si>
    <t xml:space="preserve">RING STRIPPER, ROUND, Ø 12.0 MM, 50 CM  </t>
  </si>
  <si>
    <t>16-251-14-01</t>
  </si>
  <si>
    <t xml:space="preserve">RING STRIPPER, ROUND, Ø 14.0 MM, 50 CM  </t>
  </si>
  <si>
    <t>15-975-16-01</t>
  </si>
  <si>
    <t xml:space="preserve">SPATULA, MARTIN, MALLEAB., 16 MM, 20 CM </t>
  </si>
  <si>
    <t xml:space="preserve">13,00  </t>
  </si>
  <si>
    <t xml:space="preserve">65,00  </t>
  </si>
  <si>
    <t xml:space="preserve">77,10  </t>
  </si>
  <si>
    <t xml:space="preserve">771,00  </t>
  </si>
  <si>
    <t>55-804-56-01</t>
  </si>
  <si>
    <t xml:space="preserve">marTray, 1/1, 532x251x64 mm             </t>
  </si>
  <si>
    <t xml:space="preserve">76,61  </t>
  </si>
  <si>
    <t xml:space="preserve">383,05  </t>
  </si>
  <si>
    <t xml:space="preserve">58,92  </t>
  </si>
  <si>
    <t xml:space="preserve">294,60  </t>
  </si>
  <si>
    <t xml:space="preserve">5.Hysterectomy (Laparotomy Set) (16)    </t>
  </si>
  <si>
    <t xml:space="preserve">744,96  </t>
  </si>
  <si>
    <t>10-100-04-07</t>
  </si>
  <si>
    <t xml:space="preserve">SCALPEL HANDLE, NO. 4, 13.5 CM          </t>
  </si>
  <si>
    <t xml:space="preserve">59,20  </t>
  </si>
  <si>
    <t>13-415-18-07</t>
  </si>
  <si>
    <t xml:space="preserve">FORCEPS, KOCHER, 1X2 T., CVD., 18,5 CM  </t>
  </si>
  <si>
    <t xml:space="preserve">17,03  </t>
  </si>
  <si>
    <t xml:space="preserve">544,96  </t>
  </si>
  <si>
    <t>13-411-16-07</t>
  </si>
  <si>
    <t>HAEMOSTATIC FORCEPS, PEAN, CVD., 16,5 CM</t>
  </si>
  <si>
    <t xml:space="preserve">14,54  </t>
  </si>
  <si>
    <t xml:space="preserve">930,56  </t>
  </si>
  <si>
    <t>13-410-18-07</t>
  </si>
  <si>
    <t>HAEMOSTATIC FORCEPS, PEAN, STR., 18.5 CM</t>
  </si>
  <si>
    <t xml:space="preserve">16,63  </t>
  </si>
  <si>
    <t xml:space="preserve">532,16  </t>
  </si>
  <si>
    <t>13-310-12-07</t>
  </si>
  <si>
    <t xml:space="preserve">HAEM. FORCEPS, MOSQUITO, STR., 12.5 CM  </t>
  </si>
  <si>
    <t xml:space="preserve">11,93  </t>
  </si>
  <si>
    <t xml:space="preserve">381,76  </t>
  </si>
  <si>
    <t>30-132-15-07</t>
  </si>
  <si>
    <t xml:space="preserve">TISSUE FORCEPS, ALLIS, 4X5 T., 15.5 CM  </t>
  </si>
  <si>
    <t xml:space="preserve">24,00  </t>
  </si>
  <si>
    <t xml:space="preserve">768,00  </t>
  </si>
  <si>
    <t>30-134-19-07</t>
  </si>
  <si>
    <t xml:space="preserve">TISSUE FORCEPS, ALLIS, 5X6 T., 19 CM    </t>
  </si>
  <si>
    <t xml:space="preserve">36,81  </t>
  </si>
  <si>
    <t xml:space="preserve">1.177,92  </t>
  </si>
  <si>
    <t>15-591-08-07</t>
  </si>
  <si>
    <t xml:space="preserve">RETRACTOR, DEAVER, 50 MM WIDE, 31.5 CM  </t>
  </si>
  <si>
    <t xml:space="preserve">33,55  </t>
  </si>
  <si>
    <t xml:space="preserve">536,80  </t>
  </si>
  <si>
    <t>13-414-20-07</t>
  </si>
  <si>
    <t xml:space="preserve">FORCEPS, KOCHER, 1X2 T., STR., 20,5 CM  </t>
  </si>
  <si>
    <t xml:space="preserve">20,85  </t>
  </si>
  <si>
    <t xml:space="preserve">667,20  </t>
  </si>
  <si>
    <t>13-415-16-07</t>
  </si>
  <si>
    <t xml:space="preserve">FORCEPS, KOCHER, 1X2 T., CVD., 16,5 CM  </t>
  </si>
  <si>
    <t xml:space="preserve">14,97  </t>
  </si>
  <si>
    <t xml:space="preserve">479,04  </t>
  </si>
  <si>
    <t xml:space="preserve">240,00  </t>
  </si>
  <si>
    <t xml:space="preserve">257,60  </t>
  </si>
  <si>
    <t>11-171-17-07</t>
  </si>
  <si>
    <t xml:space="preserve">SCISSORS, MAYO, CVD., 17 CM             </t>
  </si>
  <si>
    <t xml:space="preserve">12,24  </t>
  </si>
  <si>
    <t xml:space="preserve">195,84  </t>
  </si>
  <si>
    <t>11-285-18-07</t>
  </si>
  <si>
    <t xml:space="preserve">DISSECTING SCISSORS, CVD., 18 CM        </t>
  </si>
  <si>
    <t xml:space="preserve">12,99  </t>
  </si>
  <si>
    <t xml:space="preserve">207,84  </t>
  </si>
  <si>
    <t>11-329-20-07</t>
  </si>
  <si>
    <t>Scissor, Diss., fine, sh/sh, cvd., 20cm</t>
  </si>
  <si>
    <t xml:space="preserve">31,05  </t>
  </si>
  <si>
    <t xml:space="preserve">496,80  </t>
  </si>
  <si>
    <t>13-487-24-07</t>
  </si>
  <si>
    <t xml:space="preserve">FORCEPS, WICKSTROEM, ANGELD, 24.5 CM    </t>
  </si>
  <si>
    <t xml:space="preserve">66,78  </t>
  </si>
  <si>
    <t xml:space="preserve">2.136,96  </t>
  </si>
  <si>
    <t>13-615-21-07</t>
  </si>
  <si>
    <t>CLAMP FCPS., HEANEY, 2 T., CVD., 21.5 CM</t>
  </si>
  <si>
    <t xml:space="preserve">56,65  </t>
  </si>
  <si>
    <t xml:space="preserve">1.812,80  </t>
  </si>
  <si>
    <t>14-352-20-07</t>
  </si>
  <si>
    <t xml:space="preserve">FORCEPS, FOERSTER, SERR., STR., 20.5 CM </t>
  </si>
  <si>
    <t xml:space="preserve">20,68  </t>
  </si>
  <si>
    <t xml:space="preserve">330,88  </t>
  </si>
  <si>
    <t>15-687-00-07</t>
  </si>
  <si>
    <t xml:space="preserve">RETRACTOR, PARKER-LANG., SET, 21.5 CM   </t>
  </si>
  <si>
    <t xml:space="preserve">20,44  </t>
  </si>
  <si>
    <t xml:space="preserve">327,04  </t>
  </si>
  <si>
    <t>30-192-20-07</t>
  </si>
  <si>
    <t xml:space="preserve">TISSUE FORCEPS, BABCOCK, 21 CM          </t>
  </si>
  <si>
    <t xml:space="preserve">48,80  </t>
  </si>
  <si>
    <t xml:space="preserve">780,80  </t>
  </si>
  <si>
    <t>12-451-18-07</t>
  </si>
  <si>
    <t xml:space="preserve">TISSUE FORCEPS, BONNEY, 1X2 T., 17.5 CM </t>
  </si>
  <si>
    <t xml:space="preserve">19,76  </t>
  </si>
  <si>
    <t xml:space="preserve">316,16  </t>
  </si>
  <si>
    <t>12-100-20-07</t>
  </si>
  <si>
    <t xml:space="preserve">DRESSING FORCEPS, 20 CM                 </t>
  </si>
  <si>
    <t xml:space="preserve">6,89  </t>
  </si>
  <si>
    <t xml:space="preserve">110,24  </t>
  </si>
  <si>
    <t>12-100-16-07</t>
  </si>
  <si>
    <t xml:space="preserve">DRESSING FORCEPS, 16 CM                 </t>
  </si>
  <si>
    <t xml:space="preserve">4,76  </t>
  </si>
  <si>
    <t xml:space="preserve">76,16  </t>
  </si>
  <si>
    <t>24-386-24-07</t>
  </si>
  <si>
    <t xml:space="preserve">ATR. FORCEPS, DE BAKEY, 1.5 MM, 25 CM   </t>
  </si>
  <si>
    <t xml:space="preserve">47,25  </t>
  </si>
  <si>
    <t xml:space="preserve">756,00  </t>
  </si>
  <si>
    <t>18-543-27-01</t>
  </si>
  <si>
    <t>Suct. tube, Yankauer, compl.,ø9,4mm,31cm</t>
  </si>
  <si>
    <t xml:space="preserve">23,29  </t>
  </si>
  <si>
    <t xml:space="preserve">372,64  </t>
  </si>
  <si>
    <t xml:space="preserve">123,20  </t>
  </si>
  <si>
    <t>55-442-13-04</t>
  </si>
  <si>
    <t xml:space="preserve">CONTAINER MS, 60X30X14 CM, HANDLE GREY  </t>
  </si>
  <si>
    <t xml:space="preserve">417,23  </t>
  </si>
  <si>
    <t xml:space="preserve">6.675,68  </t>
  </si>
  <si>
    <t>55-443-22-04</t>
  </si>
  <si>
    <t xml:space="preserve">Coding label, MS2, w. text, w/o hole    </t>
  </si>
  <si>
    <t xml:space="preserve">4,10  </t>
  </si>
  <si>
    <t xml:space="preserve">65,60  </t>
  </si>
  <si>
    <t>32-779-23-07</t>
  </si>
  <si>
    <t>UTERINE ELEV. FCPS., SOMER, CVD., 22.5CM</t>
  </si>
  <si>
    <t xml:space="preserve">70,08  </t>
  </si>
  <si>
    <t xml:space="preserve">1.121,28  </t>
  </si>
  <si>
    <t>15-852-00-07</t>
  </si>
  <si>
    <t>ABDOMIN. RETRACTOR, BALFOUR, WIRE BLADES</t>
  </si>
  <si>
    <t xml:space="preserve">206,07  </t>
  </si>
  <si>
    <t xml:space="preserve">3.297,12  </t>
  </si>
  <si>
    <t>15-171-12-07</t>
  </si>
  <si>
    <t xml:space="preserve">HOOKLET, CUSHING, 12 MM, 20.5 CM        </t>
  </si>
  <si>
    <t xml:space="preserve">27,72  </t>
  </si>
  <si>
    <t xml:space="preserve">443,52  </t>
  </si>
  <si>
    <t xml:space="preserve">1.968,48  </t>
  </si>
  <si>
    <t>12-460-23-07</t>
  </si>
  <si>
    <t xml:space="preserve">FORCEPS, FENESTRATED JAW, 23 CM         </t>
  </si>
  <si>
    <t xml:space="preserve">37,15  </t>
  </si>
  <si>
    <t xml:space="preserve">594,40  </t>
  </si>
  <si>
    <t>30-274-23-07</t>
  </si>
  <si>
    <t>INTESTINAL FORCEPS, DOYEN, STR., 23.5 CM</t>
  </si>
  <si>
    <t xml:space="preserve">72,94  </t>
  </si>
  <si>
    <t xml:space="preserve">2.334,08  </t>
  </si>
  <si>
    <t xml:space="preserve">76,72  </t>
  </si>
  <si>
    <t xml:space="preserve">1.227,52  </t>
  </si>
  <si>
    <t xml:space="preserve">6.Caesarean Set  (25)                   </t>
  </si>
  <si>
    <t>13-915-11-07</t>
  </si>
  <si>
    <t xml:space="preserve">TOWEL FORCEPS, BACKHAUS, SHARP, 11 CM   </t>
  </si>
  <si>
    <t xml:space="preserve">1.303,00  </t>
  </si>
  <si>
    <t xml:space="preserve">185,00  </t>
  </si>
  <si>
    <t xml:space="preserve">851,50  </t>
  </si>
  <si>
    <t>13-414-16-07</t>
  </si>
  <si>
    <t xml:space="preserve">FORCEPS, KOCHER, 1X2 T., STR., 16 CM    </t>
  </si>
  <si>
    <t xml:space="preserve">14,14  </t>
  </si>
  <si>
    <t xml:space="preserve">707,00  </t>
  </si>
  <si>
    <t xml:space="preserve">727,00  </t>
  </si>
  <si>
    <t xml:space="preserve">831,50  </t>
  </si>
  <si>
    <t xml:space="preserve">596,50  </t>
  </si>
  <si>
    <t xml:space="preserve">1.200,00  </t>
  </si>
  <si>
    <t xml:space="preserve">1.840,50  </t>
  </si>
  <si>
    <t>33-300-21-07</t>
  </si>
  <si>
    <t xml:space="preserve">HAEMOST. FORCEPS, GREEN-ARMYTAGE, 21 CM </t>
  </si>
  <si>
    <t xml:space="preserve">87,63  </t>
  </si>
  <si>
    <t xml:space="preserve">4.381,50  </t>
  </si>
  <si>
    <t>15-461-25-01</t>
  </si>
  <si>
    <t xml:space="preserve">Retractor, Doyen, 45x88 mm, 24 cm       </t>
  </si>
  <si>
    <t xml:space="preserve">48,07  </t>
  </si>
  <si>
    <t xml:space="preserve">1.201,75  </t>
  </si>
  <si>
    <t>15-591-07-07</t>
  </si>
  <si>
    <t xml:space="preserve">RETRACTOR, DEAVER, 38 MM WIDE, 32 CM    </t>
  </si>
  <si>
    <t xml:space="preserve">21,16  </t>
  </si>
  <si>
    <t xml:space="preserve">529,00  </t>
  </si>
  <si>
    <t>20-390-16-07</t>
  </si>
  <si>
    <t xml:space="preserve">NEEDLEHOLDER, MAYO-HEGAR, 16 CM         </t>
  </si>
  <si>
    <t xml:space="preserve">13,50  </t>
  </si>
  <si>
    <t xml:space="preserve">337,50  </t>
  </si>
  <si>
    <t xml:space="preserve">402,50  </t>
  </si>
  <si>
    <t xml:space="preserve">306,00  </t>
  </si>
  <si>
    <t xml:space="preserve">324,75  </t>
  </si>
  <si>
    <t xml:space="preserve">517,00  </t>
  </si>
  <si>
    <t xml:space="preserve">511,00  </t>
  </si>
  <si>
    <t>30-192-18-07</t>
  </si>
  <si>
    <t xml:space="preserve">TISSUE FORCEPS, BABCOCK, 17.5 CM        </t>
  </si>
  <si>
    <t xml:space="preserve">47,60  </t>
  </si>
  <si>
    <t xml:space="preserve">1.190,00  </t>
  </si>
  <si>
    <t xml:space="preserve">494,00  </t>
  </si>
  <si>
    <t>24-384-16-07</t>
  </si>
  <si>
    <t xml:space="preserve">ATR. FORCEPS, DE BAKEY, 2.7 MM, 16 CM   </t>
  </si>
  <si>
    <t xml:space="preserve">36,16  </t>
  </si>
  <si>
    <t xml:space="preserve">904,00  </t>
  </si>
  <si>
    <t xml:space="preserve">582,25  </t>
  </si>
  <si>
    <t xml:space="preserve">192,50  </t>
  </si>
  <si>
    <t xml:space="preserve">10.430,75  </t>
  </si>
  <si>
    <t xml:space="preserve">102,50  </t>
  </si>
  <si>
    <t xml:space="preserve">38,28  </t>
  </si>
  <si>
    <t xml:space="preserve">957,00  </t>
  </si>
  <si>
    <t>55-804-50-01</t>
  </si>
  <si>
    <t xml:space="preserve">marTray, DIN, 477x251x64 mm             </t>
  </si>
  <si>
    <t xml:space="preserve">64,35  </t>
  </si>
  <si>
    <t xml:space="preserve">1.608,75  </t>
  </si>
  <si>
    <t xml:space="preserve">9.Hand Surgery Set. (25)                </t>
  </si>
  <si>
    <t>13-310-14-07</t>
  </si>
  <si>
    <t xml:space="preserve">HAEM. FORCEPS, MOSQUITO, STR., 14.5 CM  </t>
  </si>
  <si>
    <t xml:space="preserve">16,35  </t>
  </si>
  <si>
    <t xml:space="preserve">2.452,50  </t>
  </si>
  <si>
    <t>13-311-14-07</t>
  </si>
  <si>
    <t xml:space="preserve">HAEM. FORCEPS, MOSQUITO, CVD., 14 CM    </t>
  </si>
  <si>
    <t xml:space="preserve">19,61  </t>
  </si>
  <si>
    <t xml:space="preserve">2.941,50  </t>
  </si>
  <si>
    <t xml:space="preserve">25,54  </t>
  </si>
  <si>
    <t xml:space="preserve">3.831,00  </t>
  </si>
  <si>
    <t>13-414-18-07</t>
  </si>
  <si>
    <t xml:space="preserve">FORCEPS, KOCHER, 1X2 T., STR., 18.5 CM  </t>
  </si>
  <si>
    <t xml:space="preserve">17,14  </t>
  </si>
  <si>
    <t xml:space="preserve">1.714,00  </t>
  </si>
  <si>
    <t>14-352-25-07</t>
  </si>
  <si>
    <t xml:space="preserve">FORCEPS, FOERSTER, SERR., STR., 25 CM   </t>
  </si>
  <si>
    <t xml:space="preserve">18,06  </t>
  </si>
  <si>
    <t xml:space="preserve">1.806,00  </t>
  </si>
  <si>
    <t>13-375-16-07</t>
  </si>
  <si>
    <t xml:space="preserve">FORCEPS, PEAN, DELICATE, CVD., 16.5 CM  </t>
  </si>
  <si>
    <t xml:space="preserve">19,08  </t>
  </si>
  <si>
    <t xml:space="preserve">1.908,00  </t>
  </si>
  <si>
    <t xml:space="preserve">13,87  </t>
  </si>
  <si>
    <t xml:space="preserve">2.774,00  </t>
  </si>
  <si>
    <t>13-303-02-07</t>
  </si>
  <si>
    <t xml:space="preserve">FORCEPS, MIXTER-BABY, STR. CVD., 13 CM  </t>
  </si>
  <si>
    <t xml:space="preserve">35,05  </t>
  </si>
  <si>
    <t xml:space="preserve">1.752,50  </t>
  </si>
  <si>
    <t>23-312-30-07</t>
  </si>
  <si>
    <t xml:space="preserve">BONE CUR., SPRATT, OVAL, NO. 000, 17 CM </t>
  </si>
  <si>
    <t xml:space="preserve">32,06  </t>
  </si>
  <si>
    <t xml:space="preserve">801,50  </t>
  </si>
  <si>
    <t>23-312-20-07</t>
  </si>
  <si>
    <t xml:space="preserve">BONE CUR., SPRATT, OVAL, NO. 00, 17 CM  </t>
  </si>
  <si>
    <t>23-312-10-07</t>
  </si>
  <si>
    <t>BONE CURETTE, SPRATT, OVAL, NO. 0, 17 CM</t>
  </si>
  <si>
    <t>23-313-01-07</t>
  </si>
  <si>
    <t>BONE CURETTE, SPRATT, OVAL, NO. 1, 17 CM</t>
  </si>
  <si>
    <t>23-944-15-07</t>
  </si>
  <si>
    <t xml:space="preserve">BONE CUTT. FORCEPS, BOEHLER, STR.,14CM  </t>
  </si>
  <si>
    <t xml:space="preserve">188,54  </t>
  </si>
  <si>
    <t xml:space="preserve">4.713,50  </t>
  </si>
  <si>
    <t>24-690-04-07</t>
  </si>
  <si>
    <t xml:space="preserve">Dissector, Penfield, # 4, 20.5 cm       </t>
  </si>
  <si>
    <t xml:space="preserve">42,31  </t>
  </si>
  <si>
    <t xml:space="preserve">1.057,75  </t>
  </si>
  <si>
    <t>37-531-16-07</t>
  </si>
  <si>
    <t xml:space="preserve">SEPTUM ELEVATOR, JOSEPH, 4 MM, 16.5 CM  </t>
  </si>
  <si>
    <t xml:space="preserve">32,40  </t>
  </si>
  <si>
    <t xml:space="preserve">810,00  </t>
  </si>
  <si>
    <t>38-014-00-07</t>
  </si>
  <si>
    <t xml:space="preserve">ELEVATOR, TERRY, 3.0/7.0 MM, 18 CM      </t>
  </si>
  <si>
    <t xml:space="preserve">36,56  </t>
  </si>
  <si>
    <t xml:space="preserve">914,00  </t>
  </si>
  <si>
    <t>23-402-19-07</t>
  </si>
  <si>
    <t xml:space="preserve">RASPATORY, LANGENBECK, CVD., 19 CM      </t>
  </si>
  <si>
    <t xml:space="preserve">24,96  </t>
  </si>
  <si>
    <t xml:space="preserve">624,00  </t>
  </si>
  <si>
    <t>12-168-12-07</t>
  </si>
  <si>
    <t xml:space="preserve">DRESSING FORCEPS, ADSON, 12 CM          </t>
  </si>
  <si>
    <t xml:space="preserve">5,92  </t>
  </si>
  <si>
    <t xml:space="preserve">148,00  </t>
  </si>
  <si>
    <t>12-301-16-07</t>
  </si>
  <si>
    <t xml:space="preserve">TISSUE FORCEPS, 1X2 T., 16 CM           </t>
  </si>
  <si>
    <t xml:space="preserve">6,40  </t>
  </si>
  <si>
    <t xml:space="preserve">160,00  </t>
  </si>
  <si>
    <t>12-321-16-07</t>
  </si>
  <si>
    <t xml:space="preserve">TISSUE FORCEPS, 1X2 T., SLIM, 16 CM     </t>
  </si>
  <si>
    <t xml:space="preserve">6,49  </t>
  </si>
  <si>
    <t xml:space="preserve">162,25  </t>
  </si>
  <si>
    <t>23-729-16-07</t>
  </si>
  <si>
    <t xml:space="preserve">REPOS. FORCEPS, W. THREAD LOCK, 16 CM   </t>
  </si>
  <si>
    <t xml:space="preserve">34,84  </t>
  </si>
  <si>
    <t xml:space="preserve">871,00  </t>
  </si>
  <si>
    <t>37-704-05-07</t>
  </si>
  <si>
    <t>SKIN HOOKLET, JOSEPH, 2-PR., 5 MM, 16 CM</t>
  </si>
  <si>
    <t xml:space="preserve">24,43  </t>
  </si>
  <si>
    <t xml:space="preserve">1.221,50  </t>
  </si>
  <si>
    <t xml:space="preserve">3,93  </t>
  </si>
  <si>
    <t xml:space="preserve">98,25  </t>
  </si>
  <si>
    <t>23-198-05-07</t>
  </si>
  <si>
    <t xml:space="preserve">TAMPER, METAL, Ø 5 MM, 15.5 CM          </t>
  </si>
  <si>
    <t xml:space="preserve">19,75  </t>
  </si>
  <si>
    <t xml:space="preserve">493,75  </t>
  </si>
  <si>
    <t xml:space="preserve">1.828,00  </t>
  </si>
  <si>
    <t xml:space="preserve">76,80  </t>
  </si>
  <si>
    <t xml:space="preserve">1.920,00  </t>
  </si>
  <si>
    <t>20-642-16-07</t>
  </si>
  <si>
    <t xml:space="preserve">TC-NEEDLEHOLDER, MAYO-HEGAR, 16 CM      </t>
  </si>
  <si>
    <t xml:space="preserve">42,38  </t>
  </si>
  <si>
    <t xml:space="preserve">1.059,50  </t>
  </si>
  <si>
    <t>20-604-13-07</t>
  </si>
  <si>
    <t xml:space="preserve">TC-NEEDLEHOLDER, WEBSTER, 13 CM         </t>
  </si>
  <si>
    <t xml:space="preserve">72,47  </t>
  </si>
  <si>
    <t xml:space="preserve">1.811,75  </t>
  </si>
  <si>
    <t>23-539-06-07</t>
  </si>
  <si>
    <t xml:space="preserve">BONE LEVER, MINI-HOHMANN, 6 MM, 16 CM   </t>
  </si>
  <si>
    <t xml:space="preserve">24,78  </t>
  </si>
  <si>
    <t xml:space="preserve">619,50  </t>
  </si>
  <si>
    <t>23-539-08-07</t>
  </si>
  <si>
    <t xml:space="preserve">BONE LEVER, MINI-HOHMANN, 8 MM, 16 CM   </t>
  </si>
  <si>
    <t xml:space="preserve">21,75  </t>
  </si>
  <si>
    <t xml:space="preserve">543,75  </t>
  </si>
  <si>
    <t>15-717-10-07</t>
  </si>
  <si>
    <t xml:space="preserve">WOUNDSPREADER, BLUNT, 4X4 T., 10 CM     </t>
  </si>
  <si>
    <t xml:space="preserve">48,27  </t>
  </si>
  <si>
    <t xml:space="preserve">1.206,75  </t>
  </si>
  <si>
    <t>15-164-14-07</t>
  </si>
  <si>
    <t xml:space="preserve">HOOKLET, DOUBLE, RAGNELL-DAVIS, 15 CM   </t>
  </si>
  <si>
    <t xml:space="preserve">20,10  </t>
  </si>
  <si>
    <t xml:space="preserve">1.005,00  </t>
  </si>
  <si>
    <t>15-166-16-07</t>
  </si>
  <si>
    <t xml:space="preserve">HOOKLET, SENN-MUELLER, SHARP, 16 CM     </t>
  </si>
  <si>
    <t xml:space="preserve">14,16  </t>
  </si>
  <si>
    <t xml:space="preserve">354,00  </t>
  </si>
  <si>
    <t>15-167-16-07</t>
  </si>
  <si>
    <t xml:space="preserve">HOOKLET, SENN-MUELLER, BLUNT, 16 CM     </t>
  </si>
  <si>
    <t>12-402-12-07</t>
  </si>
  <si>
    <t xml:space="preserve">FORCEPS, MINI-ADSON, 1X2 T., 12 CM      </t>
  </si>
  <si>
    <t xml:space="preserve">11,35  </t>
  </si>
  <si>
    <t xml:space="preserve">283,75  </t>
  </si>
  <si>
    <t>12-406-12-07</t>
  </si>
  <si>
    <t xml:space="preserve">FORCEPS, MICRO-ADSON, 1X2 T., 12 CM     </t>
  </si>
  <si>
    <t xml:space="preserve">298,25  </t>
  </si>
  <si>
    <t>17-412-15-07</t>
  </si>
  <si>
    <t xml:space="preserve">Ruler, mm/inch, 15 cm                   </t>
  </si>
  <si>
    <t xml:space="preserve">1,65  </t>
  </si>
  <si>
    <t xml:space="preserve">41,25  </t>
  </si>
  <si>
    <t>25-420-18-07</t>
  </si>
  <si>
    <t xml:space="preserve">CHAMPY TC-PLATE SHEARS                  </t>
  </si>
  <si>
    <t xml:space="preserve">272,20  </t>
  </si>
  <si>
    <t xml:space="preserve">6.805,00  </t>
  </si>
  <si>
    <t>15-056-01-07</t>
  </si>
  <si>
    <t xml:space="preserve">Hooklet, Barsky, 1-t., 15 cm            </t>
  </si>
  <si>
    <t xml:space="preserve">9,46  </t>
  </si>
  <si>
    <t xml:space="preserve">473,00  </t>
  </si>
  <si>
    <t>23-359-00-07</t>
  </si>
  <si>
    <t xml:space="preserve">BONE CURETTE, OVAL, NO. 00/00, 16,5 CM  </t>
  </si>
  <si>
    <t xml:space="preserve">22,91  </t>
  </si>
  <si>
    <t xml:space="preserve">572,75  </t>
  </si>
  <si>
    <t>37-545-18-07</t>
  </si>
  <si>
    <t xml:space="preserve">ELEVATOR, FREER, SH/BL, W/O PIN, 18 CM  </t>
  </si>
  <si>
    <t xml:space="preserve">22,86  </t>
  </si>
  <si>
    <t xml:space="preserve">571,50  </t>
  </si>
  <si>
    <t>23-423-07-07</t>
  </si>
  <si>
    <t xml:space="preserve">Raspatory, Key, 16 mm, 20 cm            </t>
  </si>
  <si>
    <t xml:space="preserve">37,32  </t>
  </si>
  <si>
    <t xml:space="preserve">933,00  </t>
  </si>
  <si>
    <t>15-748-10-07</t>
  </si>
  <si>
    <t xml:space="preserve">WOUNDSPREADER, SHARP, 2X3 T., 11 CM     </t>
  </si>
  <si>
    <t xml:space="preserve">67,79  </t>
  </si>
  <si>
    <t xml:space="preserve">1.694,75  </t>
  </si>
  <si>
    <t>15-749-10-07</t>
  </si>
  <si>
    <t xml:space="preserve">WOUNDSPREADER, BLUNT, 2X3 T., 11 CM     </t>
  </si>
  <si>
    <t xml:space="preserve">62,20  </t>
  </si>
  <si>
    <t xml:space="preserve">1.555,00  </t>
  </si>
  <si>
    <t>15-751-13-07</t>
  </si>
  <si>
    <t xml:space="preserve">WOUNDSPREADER, BLUNT, 3X4 T., 13.5 CM   </t>
  </si>
  <si>
    <t xml:space="preserve">64,42  </t>
  </si>
  <si>
    <t xml:space="preserve">1.610,50  </t>
  </si>
  <si>
    <t>23-836-30-07</t>
  </si>
  <si>
    <t>RONGEUR, MICRO-FRIEDMAN, CVD. 30°,15.5CM</t>
  </si>
  <si>
    <t xml:space="preserve">115,37  </t>
  </si>
  <si>
    <t xml:space="preserve">2.884,25  </t>
  </si>
  <si>
    <t>23-876-15-07</t>
  </si>
  <si>
    <t xml:space="preserve">BONE RONGEUR, BOEHLER, STR., 15 CM      </t>
  </si>
  <si>
    <t xml:space="preserve">199,47  </t>
  </si>
  <si>
    <t xml:space="preserve">4.986,75  </t>
  </si>
  <si>
    <t>11-102-14-07</t>
  </si>
  <si>
    <t>OPERATING SCISSORS, SH/BL, STR., 14.5 CM</t>
  </si>
  <si>
    <t xml:space="preserve">10,74  </t>
  </si>
  <si>
    <t xml:space="preserve">268,50  </t>
  </si>
  <si>
    <t>11-937-11-07</t>
  </si>
  <si>
    <t xml:space="preserve">TC-DISSECTING SCISSORS, CVD., 11.5 CM   </t>
  </si>
  <si>
    <t xml:space="preserve">46,27  </t>
  </si>
  <si>
    <t xml:space="preserve">1.156,75  </t>
  </si>
  <si>
    <t>11-690-11-07</t>
  </si>
  <si>
    <t xml:space="preserve">STRABISMUS SCISS., BL/BL, STR., 11.5 CM </t>
  </si>
  <si>
    <t xml:space="preserve">48,59  </t>
  </si>
  <si>
    <t xml:space="preserve">1.214,75  </t>
  </si>
  <si>
    <t>11-508-12-07</t>
  </si>
  <si>
    <t xml:space="preserve">Scissor, Faden, Littler, 12 cm          </t>
  </si>
  <si>
    <t xml:space="preserve">40,52  </t>
  </si>
  <si>
    <t xml:space="preserve">1.013,00  </t>
  </si>
  <si>
    <t>11-955-14-07</t>
  </si>
  <si>
    <t xml:space="preserve">TC-DISS. SCISSORS, FINE, CVD., 14.5 CM  </t>
  </si>
  <si>
    <t xml:space="preserve">73,16  </t>
  </si>
  <si>
    <t xml:space="preserve">1.829,00  </t>
  </si>
  <si>
    <t>11-983-11-07</t>
  </si>
  <si>
    <t xml:space="preserve">TC-IRIS SCISSORS, SH/SH, CVD., 11.5 CM  </t>
  </si>
  <si>
    <t xml:space="preserve">74,30  </t>
  </si>
  <si>
    <t xml:space="preserve">1.857,50  </t>
  </si>
  <si>
    <t>11-350-14-07</t>
  </si>
  <si>
    <t xml:space="preserve">SCISSORS, JOSEPH, SH/SH, STR., 14.5 CM  </t>
  </si>
  <si>
    <t xml:space="preserve">62,05  </t>
  </si>
  <si>
    <t xml:space="preserve">1.551,25  </t>
  </si>
  <si>
    <t>21-209-18-01</t>
  </si>
  <si>
    <t xml:space="preserve">BANDAGE SCISSORS, UNIVERSAL, 19 CM      </t>
  </si>
  <si>
    <t xml:space="preserve">3,64  </t>
  </si>
  <si>
    <t xml:space="preserve">91,00  </t>
  </si>
  <si>
    <t xml:space="preserve">444,11  </t>
  </si>
  <si>
    <t xml:space="preserve">11.102,75  </t>
  </si>
  <si>
    <t xml:space="preserve">81,66  </t>
  </si>
  <si>
    <t xml:space="preserve">2.041,50  </t>
  </si>
  <si>
    <t xml:space="preserve">4,36  </t>
  </si>
  <si>
    <t xml:space="preserve">109,00  </t>
  </si>
  <si>
    <t xml:space="preserve">10.General Plastic Surgical Instr. (10) </t>
  </si>
  <si>
    <t xml:space="preserve">3,89  </t>
  </si>
  <si>
    <t xml:space="preserve">38,90  </t>
  </si>
  <si>
    <t>10-137-07-07</t>
  </si>
  <si>
    <t xml:space="preserve">SCALPEL HANDLE, NO. 7, SOLID, 16 CM     </t>
  </si>
  <si>
    <t xml:space="preserve">9,00  </t>
  </si>
  <si>
    <t xml:space="preserve">90,00  </t>
  </si>
  <si>
    <t>12-502-10-07</t>
  </si>
  <si>
    <t xml:space="preserve">DRESSING FORCEPS, FINE, STR., 10 CM     </t>
  </si>
  <si>
    <t xml:space="preserve">13,02  </t>
  </si>
  <si>
    <t xml:space="preserve">130,20  </t>
  </si>
  <si>
    <t>12-100-10-07</t>
  </si>
  <si>
    <t xml:space="preserve">DRESSING FORCEPS, 10,5 CM               </t>
  </si>
  <si>
    <t xml:space="preserve">6,04  </t>
  </si>
  <si>
    <t>36-391-14-07</t>
  </si>
  <si>
    <t xml:space="preserve">EAR FORCEPS, GRUENWALD, BAYON., 14.5 CM </t>
  </si>
  <si>
    <t xml:space="preserve">11,42  </t>
  </si>
  <si>
    <t xml:space="preserve">114,20  </t>
  </si>
  <si>
    <t>36-395-16-07</t>
  </si>
  <si>
    <t xml:space="preserve">EAR DRESS. FCPS., JANSEN, BAYO., 16 CM  </t>
  </si>
  <si>
    <t xml:space="preserve">180,60  </t>
  </si>
  <si>
    <t xml:space="preserve">5,86  </t>
  </si>
  <si>
    <t xml:space="preserve">58,60  </t>
  </si>
  <si>
    <t>12-166-12-07</t>
  </si>
  <si>
    <t xml:space="preserve">DRESSING FORCEPS, MINI-ADSON, 12 CM     </t>
  </si>
  <si>
    <t xml:space="preserve">12,12  </t>
  </si>
  <si>
    <t xml:space="preserve">121,20  </t>
  </si>
  <si>
    <t xml:space="preserve">12,57  </t>
  </si>
  <si>
    <t xml:space="preserve">754,20  </t>
  </si>
  <si>
    <t xml:space="preserve">13,54  </t>
  </si>
  <si>
    <t xml:space="preserve">812,40  </t>
  </si>
  <si>
    <t>23-715-19-07</t>
  </si>
  <si>
    <t xml:space="preserve">CARTILAGE FORCEPS, DINGMANN, 18.5 CM    </t>
  </si>
  <si>
    <t xml:space="preserve">80,78  </t>
  </si>
  <si>
    <t xml:space="preserve">1.615,60  </t>
  </si>
  <si>
    <t>12-512-10-07</t>
  </si>
  <si>
    <t xml:space="preserve">TISSUE FORCEPS, 1X2 T., STR., 10 CM     </t>
  </si>
  <si>
    <t xml:space="preserve">12,75  </t>
  </si>
  <si>
    <t xml:space="preserve">127,50  </t>
  </si>
  <si>
    <t>12-301-10-07</t>
  </si>
  <si>
    <t xml:space="preserve">TISSUE FORCEPS 1X2 T, 10,5 CM           </t>
  </si>
  <si>
    <t xml:space="preserve">4,73  </t>
  </si>
  <si>
    <t xml:space="preserve">47,30  </t>
  </si>
  <si>
    <t xml:space="preserve">11,81  </t>
  </si>
  <si>
    <t xml:space="preserve">118,10  </t>
  </si>
  <si>
    <t xml:space="preserve">11,24  </t>
  </si>
  <si>
    <t xml:space="preserve">112,40  </t>
  </si>
  <si>
    <t>12-406-15-07</t>
  </si>
  <si>
    <t xml:space="preserve">FORCEPS, MICRO-ADSON, 1X2 T., 15 CM     </t>
  </si>
  <si>
    <t xml:space="preserve">16,85  </t>
  </si>
  <si>
    <t xml:space="preserve">168,50  </t>
  </si>
  <si>
    <t xml:space="preserve">25,30  </t>
  </si>
  <si>
    <t xml:space="preserve">1.518,00  </t>
  </si>
  <si>
    <t xml:space="preserve">12,27  </t>
  </si>
  <si>
    <t xml:space="preserve">981,60  </t>
  </si>
  <si>
    <t>24-823-20-07</t>
  </si>
  <si>
    <t xml:space="preserve">Hook, Adson, blunt, angled, 20 cm       </t>
  </si>
  <si>
    <t xml:space="preserve">21,99  </t>
  </si>
  <si>
    <t xml:space="preserve">219,90  </t>
  </si>
  <si>
    <t>24-835-13-07</t>
  </si>
  <si>
    <t xml:space="preserve">Hook, Frazier, sharp, 13 cm             </t>
  </si>
  <si>
    <t xml:space="preserve">16,34  </t>
  </si>
  <si>
    <t xml:space="preserve">817,00  </t>
  </si>
  <si>
    <t>37-704-02-07</t>
  </si>
  <si>
    <t>SKIN HOOKLET, JOSEPH, 2-PR., 2 MM, 16 CM</t>
  </si>
  <si>
    <t xml:space="preserve">24,19  </t>
  </si>
  <si>
    <t xml:space="preserve">241,90  </t>
  </si>
  <si>
    <t>37-698-10-07</t>
  </si>
  <si>
    <t xml:space="preserve">ALAR RETRACTOR, KILNER, SHARP, 8 CM     </t>
  </si>
  <si>
    <t xml:space="preserve">38,25  </t>
  </si>
  <si>
    <t xml:space="preserve">382,50  </t>
  </si>
  <si>
    <t>20-364-18-07</t>
  </si>
  <si>
    <t>NEEDLEHOLDER, METZENB., FENESTR., 18.5 C</t>
  </si>
  <si>
    <t xml:space="preserve">69,84  </t>
  </si>
  <si>
    <t xml:space="preserve">1.396,80  </t>
  </si>
  <si>
    <t xml:space="preserve">63,80  </t>
  </si>
  <si>
    <t xml:space="preserve">638,00  </t>
  </si>
  <si>
    <t>15-751-16-07</t>
  </si>
  <si>
    <t xml:space="preserve">WOUNDSPREADER, BLUNT, 3X4 T., 16 CM     </t>
  </si>
  <si>
    <t xml:space="preserve">69,50  </t>
  </si>
  <si>
    <t xml:space="preserve">695,00  </t>
  </si>
  <si>
    <t xml:space="preserve">61,60  </t>
  </si>
  <si>
    <t xml:space="preserve">616,00  </t>
  </si>
  <si>
    <t>23-832-19-07</t>
  </si>
  <si>
    <t xml:space="preserve">BONE RONGEUR, LEMPERT, STR., 19 CM      </t>
  </si>
  <si>
    <t xml:space="preserve">100,84  </t>
  </si>
  <si>
    <t xml:space="preserve">1.008,40  </t>
  </si>
  <si>
    <t>23-833-19-07</t>
  </si>
  <si>
    <t xml:space="preserve">Bone Rongeur, Lempert, cvd., 19 cm      </t>
  </si>
  <si>
    <t>23-829-18-07</t>
  </si>
  <si>
    <t xml:space="preserve">BONE RONGEUR, JANSEN, CVD., 18 CM       </t>
  </si>
  <si>
    <t xml:space="preserve">108,53  </t>
  </si>
  <si>
    <t xml:space="preserve">1.085,30  </t>
  </si>
  <si>
    <t>11-965-14-07</t>
  </si>
  <si>
    <t xml:space="preserve">TC-DISS. SCISSORS, LAHEY, CVD., 14.5 CM </t>
  </si>
  <si>
    <t xml:space="preserve">73,63  </t>
  </si>
  <si>
    <t xml:space="preserve">736,30  </t>
  </si>
  <si>
    <t>11-620-10-07</t>
  </si>
  <si>
    <t xml:space="preserve">IRIS SCISSORS, SH/SH, STR., 10.5 CM     </t>
  </si>
  <si>
    <t xml:space="preserve">11,56  </t>
  </si>
  <si>
    <t xml:space="preserve">115,60  </t>
  </si>
  <si>
    <t>11-621-10-07</t>
  </si>
  <si>
    <t xml:space="preserve">IRIS SCISSORS, SH/SH, CVD., 10.5 CM     </t>
  </si>
  <si>
    <t xml:space="preserve">12,92  </t>
  </si>
  <si>
    <t xml:space="preserve">129,20  </t>
  </si>
  <si>
    <t>11-170-14-07</t>
  </si>
  <si>
    <t xml:space="preserve">SCISSORS, MAYO, STR., 14.5 CM           </t>
  </si>
  <si>
    <t xml:space="preserve">10,08  </t>
  </si>
  <si>
    <t xml:space="preserve">100,80  </t>
  </si>
  <si>
    <t>11-171-14-07</t>
  </si>
  <si>
    <t xml:space="preserve">SCISSORS, MAYO, CVD., 14.5 CM           </t>
  </si>
  <si>
    <t xml:space="preserve">11,06  </t>
  </si>
  <si>
    <t xml:space="preserve">110,60  </t>
  </si>
  <si>
    <t>11-327-14-07</t>
  </si>
  <si>
    <t xml:space="preserve">DISSECT. SCISSORS, FINE, CVD., 14.5 CM  </t>
  </si>
  <si>
    <t xml:space="preserve">14,24  </t>
  </si>
  <si>
    <t xml:space="preserve">142,40  </t>
  </si>
  <si>
    <t>11-331-18-07</t>
  </si>
  <si>
    <t xml:space="preserve">DISSECT. SCISSORS, FINE, CVD., 18 CM    </t>
  </si>
  <si>
    <t xml:space="preserve">26,95  </t>
  </si>
  <si>
    <t xml:space="preserve">269,50  </t>
  </si>
  <si>
    <t>11-509-16-07</t>
  </si>
  <si>
    <t xml:space="preserve">NASAL SCISSORS, COTTLE, 15.5 CM         </t>
  </si>
  <si>
    <t xml:space="preserve">38,52  </t>
  </si>
  <si>
    <t xml:space="preserve">385,20  </t>
  </si>
  <si>
    <t>11-306-19-07</t>
  </si>
  <si>
    <t xml:space="preserve">SCISSORS, GORNEY, STR., SERR., 19.5 CM  </t>
  </si>
  <si>
    <t xml:space="preserve">32,35  </t>
  </si>
  <si>
    <t xml:space="preserve">323,50  </t>
  </si>
  <si>
    <t>11-307-19-07</t>
  </si>
  <si>
    <t xml:space="preserve">SCISSORS, GORNEY, CVD., SERR., 19.5 CM  </t>
  </si>
  <si>
    <t>11-969-17-07</t>
  </si>
  <si>
    <t xml:space="preserve">TC-Scissor, Gorney-Freeman, cvd., 17 cm </t>
  </si>
  <si>
    <t xml:space="preserve">89,17  </t>
  </si>
  <si>
    <t xml:space="preserve">891,70  </t>
  </si>
  <si>
    <t>11-364-14-07</t>
  </si>
  <si>
    <t xml:space="preserve">Scissor, Diss., Reynolds, str., 14 cm   </t>
  </si>
  <si>
    <t xml:space="preserve">28,41  </t>
  </si>
  <si>
    <t xml:space="preserve">284,10  </t>
  </si>
  <si>
    <t>11-365-14-07</t>
  </si>
  <si>
    <t xml:space="preserve">Scissor, Diss., Reynolds, cvd., 14 cm   </t>
  </si>
  <si>
    <t xml:space="preserve">29,79  </t>
  </si>
  <si>
    <t xml:space="preserve">297,90  </t>
  </si>
  <si>
    <t>36-859-50-07</t>
  </si>
  <si>
    <t xml:space="preserve">NASAL SPECULUM, COTTLE, 50 MM, NO. 2    </t>
  </si>
  <si>
    <t xml:space="preserve">95,96  </t>
  </si>
  <si>
    <t xml:space="preserve">959,60  </t>
  </si>
  <si>
    <t>36-859-75-07</t>
  </si>
  <si>
    <t xml:space="preserve">NASAL SPECULUM, COTTLE, 75 MM, NO. 3    </t>
  </si>
  <si>
    <t>18-524-81-01</t>
  </si>
  <si>
    <t xml:space="preserve">Suct. tube, Fergusson, ø 2,0 mm, 20 cm  </t>
  </si>
  <si>
    <t xml:space="preserve">20,94  </t>
  </si>
  <si>
    <t xml:space="preserve">209,40  </t>
  </si>
  <si>
    <t>18-524-82-01</t>
  </si>
  <si>
    <t xml:space="preserve">Suct. tube, Fergusson, ø 2,5 mm, 20 cm  </t>
  </si>
  <si>
    <t>18-524-83-01</t>
  </si>
  <si>
    <t xml:space="preserve">Suct. tube, Fergusson, ø 3,0 mm, 20 cm  </t>
  </si>
  <si>
    <t>13-471-14-07</t>
  </si>
  <si>
    <t xml:space="preserve">DISS. FORCEPS, MIXTER-BABY, CVD., 13 CM </t>
  </si>
  <si>
    <t xml:space="preserve">33,04  </t>
  </si>
  <si>
    <t xml:space="preserve">1.982,40  </t>
  </si>
  <si>
    <t>13-419-18-07</t>
  </si>
  <si>
    <t>DISS. FORCEPS, BABY-MIXTER, CVD., 18.5CM</t>
  </si>
  <si>
    <t xml:space="preserve">39,48  </t>
  </si>
  <si>
    <t xml:space="preserve">2.368,80  </t>
  </si>
  <si>
    <t xml:space="preserve">14,03  </t>
  </si>
  <si>
    <t xml:space="preserve">280,60  </t>
  </si>
  <si>
    <t>15-317-01-07</t>
  </si>
  <si>
    <t>RETRACT., KOCHER-LANG., 25X6 MM, 21.5 CM</t>
  </si>
  <si>
    <t xml:space="preserve">33,59  </t>
  </si>
  <si>
    <t xml:space="preserve">671,80  </t>
  </si>
  <si>
    <t xml:space="preserve">769,20  </t>
  </si>
  <si>
    <t>13-355-14-07</t>
  </si>
  <si>
    <t xml:space="preserve">FORCEPS, DANDY, CVD. SIDEW., 14.5 CM    </t>
  </si>
  <si>
    <t xml:space="preserve">28,46  </t>
  </si>
  <si>
    <t xml:space="preserve">1.707,60  </t>
  </si>
  <si>
    <t xml:space="preserve">439,80  </t>
  </si>
  <si>
    <t xml:space="preserve">4.398,00  </t>
  </si>
  <si>
    <t xml:space="preserve">80,87  </t>
  </si>
  <si>
    <t xml:space="preserve">808,70  </t>
  </si>
  <si>
    <t xml:space="preserve">4,32  </t>
  </si>
  <si>
    <t xml:space="preserve">43,20  </t>
  </si>
  <si>
    <t>38-171-12-07</t>
  </si>
  <si>
    <t xml:space="preserve">MOUTH GAG, DENHART, 13 CM               </t>
  </si>
  <si>
    <t xml:space="preserve">95,27  </t>
  </si>
  <si>
    <t xml:space="preserve">952,70  </t>
  </si>
  <si>
    <t xml:space="preserve">22,30  </t>
  </si>
  <si>
    <t xml:space="preserve">446,00  </t>
  </si>
  <si>
    <t xml:space="preserve">35,37  </t>
  </si>
  <si>
    <t xml:space="preserve">707,40  </t>
  </si>
  <si>
    <t>23-676-19-07</t>
  </si>
  <si>
    <t xml:space="preserve">TENDON PULLING FORCEPS, BRAND, 19 CM    </t>
  </si>
  <si>
    <t xml:space="preserve">204,88  </t>
  </si>
  <si>
    <t xml:space="preserve">2.048,80  </t>
  </si>
  <si>
    <t>23-679-11-07</t>
  </si>
  <si>
    <t xml:space="preserve">TENDON SEIZING FORCEPS, CVD., 11.5 CM   </t>
  </si>
  <si>
    <t xml:space="preserve">145,92  </t>
  </si>
  <si>
    <t xml:space="preserve">1.459,20  </t>
  </si>
  <si>
    <t xml:space="preserve">8,12  </t>
  </si>
  <si>
    <t xml:space="preserve">162,40  </t>
  </si>
  <si>
    <t>56-231-16-01</t>
  </si>
  <si>
    <t xml:space="preserve">BOWL, METAL, H = 75, Ø 167 MM, 0.9 L    </t>
  </si>
  <si>
    <t xml:space="preserve">25,62  </t>
  </si>
  <si>
    <t xml:space="preserve">512,40  </t>
  </si>
  <si>
    <t>56-231-14-01</t>
  </si>
  <si>
    <t xml:space="preserve">BOWL, METAL, H = 65, Ø 147 MM, 0.50L    </t>
  </si>
  <si>
    <t xml:space="preserve">21,86  </t>
  </si>
  <si>
    <t xml:space="preserve">437,20  </t>
  </si>
  <si>
    <t xml:space="preserve">21,79  </t>
  </si>
  <si>
    <t xml:space="preserve">871,60  </t>
  </si>
  <si>
    <t>13-485-23-07</t>
  </si>
  <si>
    <t xml:space="preserve">DISS. FORCEPS, MIXTER, STR. CVD., 23 CM </t>
  </si>
  <si>
    <t xml:space="preserve">33,87  </t>
  </si>
  <si>
    <t xml:space="preserve">338,70  </t>
  </si>
  <si>
    <t>13-487-21-07</t>
  </si>
  <si>
    <t xml:space="preserve">FORCEPS, WICKSTROEM, ANGELD, 21 CM      </t>
  </si>
  <si>
    <t xml:space="preserve">55,60  </t>
  </si>
  <si>
    <t xml:space="preserve">556,00  </t>
  </si>
  <si>
    <t>30-192-16-07</t>
  </si>
  <si>
    <t xml:space="preserve">TISSUE FORCEPS, BABCOCK, 15,5 CM        </t>
  </si>
  <si>
    <t xml:space="preserve">43,09  </t>
  </si>
  <si>
    <t xml:space="preserve">1.723,60  </t>
  </si>
  <si>
    <t>15-975-13-01</t>
  </si>
  <si>
    <t xml:space="preserve">SPATULA, MARTIN, MALLEAB., 13 MM, 20 CM </t>
  </si>
  <si>
    <t xml:space="preserve">13,73  </t>
  </si>
  <si>
    <t xml:space="preserve">137,30  </t>
  </si>
  <si>
    <t>15-975-09-01</t>
  </si>
  <si>
    <t>SPATULA, MARTIN, MALLEAB., 9.5 MM, 20 CM</t>
  </si>
  <si>
    <t>21-165-14-07</t>
  </si>
  <si>
    <t xml:space="preserve">BANDAGE SCISSORS, LISTER, 14.5 CM       </t>
  </si>
  <si>
    <t xml:space="preserve">11,18  </t>
  </si>
  <si>
    <t xml:space="preserve">223,60  </t>
  </si>
  <si>
    <t>15-091-16-07</t>
  </si>
  <si>
    <t xml:space="preserve">HOOKLET, DESMARRES, 16 MM, 16 CM        </t>
  </si>
  <si>
    <t xml:space="preserve">24,10  </t>
  </si>
  <si>
    <t xml:space="preserve">482,00  </t>
  </si>
  <si>
    <t>37-584-21-07</t>
  </si>
  <si>
    <t xml:space="preserve">ELEVATOR, COTTLE, 4.5 MM, 22 CM         </t>
  </si>
  <si>
    <t xml:space="preserve">38,13  </t>
  </si>
  <si>
    <t xml:space="preserve">381,30  </t>
  </si>
  <si>
    <t xml:space="preserve">3,81  </t>
  </si>
  <si>
    <t xml:space="preserve">160,02  </t>
  </si>
  <si>
    <t xml:space="preserve">44,82  </t>
  </si>
  <si>
    <t xml:space="preserve">941,22  </t>
  </si>
  <si>
    <t>11-943-18-07</t>
  </si>
  <si>
    <t xml:space="preserve">TC-Dissecting Scissors, cvd., 18 cm     </t>
  </si>
  <si>
    <t xml:space="preserve">74,21  </t>
  </si>
  <si>
    <t xml:space="preserve">1.558,41  </t>
  </si>
  <si>
    <t>11-942-18-07</t>
  </si>
  <si>
    <t xml:space="preserve">TC-DISSECTING SCISSORS, STR., 18 CM     </t>
  </si>
  <si>
    <t xml:space="preserve">67,45  </t>
  </si>
  <si>
    <t xml:space="preserve">1.416,45  </t>
  </si>
  <si>
    <t>11-910-14-07</t>
  </si>
  <si>
    <t xml:space="preserve">TC-SCISSORS, MAYO, STR., 14.5 CM        </t>
  </si>
  <si>
    <t xml:space="preserve">62,74  </t>
  </si>
  <si>
    <t xml:space="preserve">1.317,54  </t>
  </si>
  <si>
    <t>11-507-15-07</t>
  </si>
  <si>
    <t>NASAL SCISSORS, FOMON, KNEE BENT, 14 CM</t>
  </si>
  <si>
    <t xml:space="preserve">44,53  </t>
  </si>
  <si>
    <t xml:space="preserve">935,13  </t>
  </si>
  <si>
    <t xml:space="preserve">13,72  </t>
  </si>
  <si>
    <t xml:space="preserve">576,24  </t>
  </si>
  <si>
    <t>12-368-12-07</t>
  </si>
  <si>
    <t xml:space="preserve">TISSUE FORCEPS, ADSON, 1X2 T., 12 CM    </t>
  </si>
  <si>
    <t xml:space="preserve">7,21  </t>
  </si>
  <si>
    <t xml:space="preserve">151,41  </t>
  </si>
  <si>
    <t>12-404-15-07</t>
  </si>
  <si>
    <t xml:space="preserve">DRESSING FORCEPS, MICRO-ADSON, 15 CM    </t>
  </si>
  <si>
    <t xml:space="preserve">13,32  </t>
  </si>
  <si>
    <t xml:space="preserve">279,72  </t>
  </si>
  <si>
    <t>09-007-84-07</t>
  </si>
  <si>
    <t xml:space="preserve">Forceps, tissue, Adson, 1x2 T., 18 cm   </t>
  </si>
  <si>
    <t xml:space="preserve">17,72  </t>
  </si>
  <si>
    <t xml:space="preserve">372,12  </t>
  </si>
  <si>
    <t>09-006-12-07</t>
  </si>
  <si>
    <t xml:space="preserve">Dressing forceps. Adson, 18 cm          </t>
  </si>
  <si>
    <t xml:space="preserve">17,46  </t>
  </si>
  <si>
    <t xml:space="preserve">366,66  </t>
  </si>
  <si>
    <t xml:space="preserve">11,60  </t>
  </si>
  <si>
    <t xml:space="preserve">243,60  </t>
  </si>
  <si>
    <t>12-392-21-07</t>
  </si>
  <si>
    <t xml:space="preserve">FORCEPS, POTTS-SMITH, 1X2 T., 21 CM     </t>
  </si>
  <si>
    <t xml:space="preserve">13,69  </t>
  </si>
  <si>
    <t xml:space="preserve">287,49  </t>
  </si>
  <si>
    <t>28-207-18-07</t>
  </si>
  <si>
    <t xml:space="preserve">SKIN HOOKLET, GILLIES, NO. 1, 18 CM     </t>
  </si>
  <si>
    <t xml:space="preserve">14,89  </t>
  </si>
  <si>
    <t xml:space="preserve">625,38  </t>
  </si>
  <si>
    <t>15-072-01-07</t>
  </si>
  <si>
    <t xml:space="preserve">HOOKLET, GUTHRIE, SHARP, 2-PR., 16 CM   </t>
  </si>
  <si>
    <t xml:space="preserve">47,26  </t>
  </si>
  <si>
    <t xml:space="preserve">1.984,92  </t>
  </si>
  <si>
    <t>37-699-11-07</t>
  </si>
  <si>
    <t xml:space="preserve">RETRACTOR, CONVERSE, 44X11 MM, 10.5 CM  </t>
  </si>
  <si>
    <t xml:space="preserve">62,78  </t>
  </si>
  <si>
    <t xml:space="preserve">2.636,76  </t>
  </si>
  <si>
    <t>15-293-01-07</t>
  </si>
  <si>
    <t>RETRACTOR, LANGENBECK, 30X11 MM, 21,5 CM</t>
  </si>
  <si>
    <t xml:space="preserve">21,97  </t>
  </si>
  <si>
    <t xml:space="preserve">922,74  </t>
  </si>
  <si>
    <t>15-293-03-07</t>
  </si>
  <si>
    <t>RETRACTOR, LANGENBECK, 30X15 MM, 21,5 CM</t>
  </si>
  <si>
    <t xml:space="preserve">22,93  </t>
  </si>
  <si>
    <t xml:space="preserve">963,06  </t>
  </si>
  <si>
    <t>15-293-05-07</t>
  </si>
  <si>
    <t>RETRACTOR, LANGENBECK, 50X11 MM, 21,5 CM</t>
  </si>
  <si>
    <t xml:space="preserve">32,73  </t>
  </si>
  <si>
    <t xml:space="preserve">1.374,66  </t>
  </si>
  <si>
    <t>20-668-02-07</t>
  </si>
  <si>
    <t>TC-NEEDLEHOLD., MARTINI, SMOOTH, 17.5 CM</t>
  </si>
  <si>
    <t xml:space="preserve">80,14  </t>
  </si>
  <si>
    <t xml:space="preserve">1.682,94  </t>
  </si>
  <si>
    <t>20-630-13-07</t>
  </si>
  <si>
    <t xml:space="preserve">TC-NEEDLEHOLDER, WEBSTER, SMOOTH, 13 CM </t>
  </si>
  <si>
    <t xml:space="preserve">49,65  </t>
  </si>
  <si>
    <t xml:space="preserve">1.042,65  </t>
  </si>
  <si>
    <t>20-620-00-07</t>
  </si>
  <si>
    <t xml:space="preserve">TC-MICRO NEEDLEH., STR., W. LOCK,14.5CM </t>
  </si>
  <si>
    <t xml:space="preserve">180,93  </t>
  </si>
  <si>
    <t xml:space="preserve">3.799,53  </t>
  </si>
  <si>
    <t>20-620-18-07</t>
  </si>
  <si>
    <t xml:space="preserve">TC-MICRO NEEDELH., STR., W. LOCK, 18 CM </t>
  </si>
  <si>
    <t xml:space="preserve">184,71  </t>
  </si>
  <si>
    <t xml:space="preserve">3.878,91  </t>
  </si>
  <si>
    <t>13-340-14-07</t>
  </si>
  <si>
    <t xml:space="preserve">HAEMOST. FORCEPS, CRILE, STR., 14.5 CM  </t>
  </si>
  <si>
    <t xml:space="preserve">12,10  </t>
  </si>
  <si>
    <t xml:space="preserve">1.524,60  </t>
  </si>
  <si>
    <t xml:space="preserve">12,54  </t>
  </si>
  <si>
    <t xml:space="preserve">1.580,04  </t>
  </si>
  <si>
    <t>13-306-10-07</t>
  </si>
  <si>
    <t xml:space="preserve">HAEM. FORCEPS, HARTMANN, STR., 10 CM    </t>
  </si>
  <si>
    <t xml:space="preserve">14,75  </t>
  </si>
  <si>
    <t xml:space="preserve">1.858,50  </t>
  </si>
  <si>
    <t>13-307-10-07</t>
  </si>
  <si>
    <t xml:space="preserve">HAEM. FORCEPS, HARTMANN, CVD., 10 CM    </t>
  </si>
  <si>
    <t xml:space="preserve">15,39  </t>
  </si>
  <si>
    <t xml:space="preserve">1.939,14  </t>
  </si>
  <si>
    <t>36-845-02-07</t>
  </si>
  <si>
    <t xml:space="preserve">NASAL SPECULUM, HARTMANN-HALLE, NO. 2   </t>
  </si>
  <si>
    <t xml:space="preserve">60,29  </t>
  </si>
  <si>
    <t xml:space="preserve">1.266,09  </t>
  </si>
  <si>
    <t>18-523-07-01</t>
  </si>
  <si>
    <t>Suction tube, Frazier, ø 2.3 mm, 19.5 cm</t>
  </si>
  <si>
    <t xml:space="preserve">267,75  </t>
  </si>
  <si>
    <t>18-523-12-01</t>
  </si>
  <si>
    <t>Suction tube, Frazier, ø 4.0 mm, 19.5 cm</t>
  </si>
  <si>
    <t>30-130-12-07</t>
  </si>
  <si>
    <t xml:space="preserve">TISSUE FCPS., ALLIS-BABY, 4X5 T., 13 CM </t>
  </si>
  <si>
    <t xml:space="preserve">854,70  </t>
  </si>
  <si>
    <t xml:space="preserve">519,54  </t>
  </si>
  <si>
    <t>23-662-29-07</t>
  </si>
  <si>
    <t xml:space="preserve">TENDON STRIPPER, 28.5 CM                </t>
  </si>
  <si>
    <t xml:space="preserve">107,54  </t>
  </si>
  <si>
    <t xml:space="preserve">2.258,34  </t>
  </si>
  <si>
    <t>23-676-15-07</t>
  </si>
  <si>
    <t xml:space="preserve">TENDON PULLING FORCEPS, BRAND, 15 CM    </t>
  </si>
  <si>
    <t xml:space="preserve">181,88  </t>
  </si>
  <si>
    <t xml:space="preserve">3.819,48  </t>
  </si>
  <si>
    <t xml:space="preserve">200,40  </t>
  </si>
  <si>
    <t xml:space="preserve">4.208,40  </t>
  </si>
  <si>
    <t>23-676-24-07</t>
  </si>
  <si>
    <t xml:space="preserve">TENDON PULLING FORCEPS, BRAND, 24.5 CM  </t>
  </si>
  <si>
    <t xml:space="preserve">186,68  </t>
  </si>
  <si>
    <t xml:space="preserve">3.920,28  </t>
  </si>
  <si>
    <t>23-678-01-07</t>
  </si>
  <si>
    <t xml:space="preserve">TENDON PULLING FORCEPS, CVD., 20.5 CM   </t>
  </si>
  <si>
    <t xml:space="preserve">194,83  </t>
  </si>
  <si>
    <t xml:space="preserve">4.091,43  </t>
  </si>
  <si>
    <t xml:space="preserve">23,62  </t>
  </si>
  <si>
    <t xml:space="preserve">992,04  </t>
  </si>
  <si>
    <t>23-678-00-07</t>
  </si>
  <si>
    <t xml:space="preserve">TENDON PULLING FORCEPS, STR., 21 CM     </t>
  </si>
  <si>
    <t>35-134-09-07</t>
  </si>
  <si>
    <t xml:space="preserve">CALIPER, CASTROV.-EPKER, 0-40 MM, 9 CM  </t>
  </si>
  <si>
    <t xml:space="preserve">146,11  </t>
  </si>
  <si>
    <t xml:space="preserve">3.068,31  </t>
  </si>
  <si>
    <t>35-134-18-07</t>
  </si>
  <si>
    <t xml:space="preserve">CALIPER, CASTROV.-EPKER, 0-40 MM, 18 CM </t>
  </si>
  <si>
    <t xml:space="preserve">208,42  </t>
  </si>
  <si>
    <t xml:space="preserve">4.376,82  </t>
  </si>
  <si>
    <t xml:space="preserve">1,59  </t>
  </si>
  <si>
    <t xml:space="preserve">33,39  </t>
  </si>
  <si>
    <t xml:space="preserve">2,19  </t>
  </si>
  <si>
    <t xml:space="preserve">45,99  </t>
  </si>
  <si>
    <t>10-133-31-07</t>
  </si>
  <si>
    <t xml:space="preserve">SCALPEL HANDLE, NO. 3L, LONG, 21.5 CM   </t>
  </si>
  <si>
    <t xml:space="preserve">10,28  </t>
  </si>
  <si>
    <t xml:space="preserve">215,88  </t>
  </si>
  <si>
    <t>12-301-25-07</t>
  </si>
  <si>
    <t xml:space="preserve">TISSUE FORCEPS, 1X2 T., 25 CM           </t>
  </si>
  <si>
    <t xml:space="preserve">12,30  </t>
  </si>
  <si>
    <t xml:space="preserve">258,30  </t>
  </si>
  <si>
    <t>12-100-25-07</t>
  </si>
  <si>
    <t xml:space="preserve">DRESSING FORCEPS, 25 CM                 </t>
  </si>
  <si>
    <t xml:space="preserve">9,21  </t>
  </si>
  <si>
    <t xml:space="preserve">193,41  </t>
  </si>
  <si>
    <t>37-557-22-07</t>
  </si>
  <si>
    <t xml:space="preserve">Elevator, Howarth, 21.5 cm              </t>
  </si>
  <si>
    <t xml:space="preserve">38,12  </t>
  </si>
  <si>
    <t xml:space="preserve">800,52  </t>
  </si>
  <si>
    <t xml:space="preserve">42,14  </t>
  </si>
  <si>
    <t xml:space="preserve">3.539,76  </t>
  </si>
  <si>
    <t>14-110-16-07</t>
  </si>
  <si>
    <t xml:space="preserve">SINUS FORCEPS, LISTER, STR., 16 CM      </t>
  </si>
  <si>
    <t xml:space="preserve">19,40  </t>
  </si>
  <si>
    <t xml:space="preserve">407,40  </t>
  </si>
  <si>
    <t>14-110-18-07</t>
  </si>
  <si>
    <t xml:space="preserve">SINUS FORCEPS, LISTER, STR., 18.5 CM    </t>
  </si>
  <si>
    <t xml:space="preserve">22,41  </t>
  </si>
  <si>
    <t xml:space="preserve">470,61  </t>
  </si>
  <si>
    <t>14-223-22-07</t>
  </si>
  <si>
    <t xml:space="preserve">FORCEPS, GROSS-MAIER, CVD., 22.5 CM     </t>
  </si>
  <si>
    <t xml:space="preserve">30,15  </t>
  </si>
  <si>
    <t xml:space="preserve">2.532,60  </t>
  </si>
  <si>
    <t xml:space="preserve">3,53  </t>
  </si>
  <si>
    <t xml:space="preserve">74,13  </t>
  </si>
  <si>
    <t xml:space="preserve">7,95  </t>
  </si>
  <si>
    <t xml:space="preserve">333,90  </t>
  </si>
  <si>
    <t>56-231-04-01</t>
  </si>
  <si>
    <t xml:space="preserve">BOWL, METAL, H = 19, Ø 40 MM, 0.02 L    </t>
  </si>
  <si>
    <t xml:space="preserve">4,42  </t>
  </si>
  <si>
    <t xml:space="preserve">92,82  </t>
  </si>
  <si>
    <t>56-231-06-01</t>
  </si>
  <si>
    <t xml:space="preserve">BOWL, METAL, H = 30, Ø 61 MM, 0.07 L    </t>
  </si>
  <si>
    <t xml:space="preserve">5,40  </t>
  </si>
  <si>
    <t xml:space="preserve">113,40  </t>
  </si>
  <si>
    <t>56-231-08-01</t>
  </si>
  <si>
    <t xml:space="preserve">BOWL, METAL, H = 40, Ø 80 MM, 0.14 L    </t>
  </si>
  <si>
    <t xml:space="preserve">6,98  </t>
  </si>
  <si>
    <t xml:space="preserve">146,58  </t>
  </si>
  <si>
    <t>24-541-20-07</t>
  </si>
  <si>
    <t xml:space="preserve">Hook, Crile, 90°, 20 cm                 </t>
  </si>
  <si>
    <t xml:space="preserve">21,52  </t>
  </si>
  <si>
    <t xml:space="preserve">451,92  </t>
  </si>
  <si>
    <t>23-934-14-07</t>
  </si>
  <si>
    <t xml:space="preserve">BONE CUTT. FORCEPS, LISTON, STR., 14 CM </t>
  </si>
  <si>
    <t xml:space="preserve">90,50  </t>
  </si>
  <si>
    <t xml:space="preserve">1.900,50  </t>
  </si>
  <si>
    <t>23-934-17-07</t>
  </si>
  <si>
    <t xml:space="preserve">BONE CUTT. FORCEPS, LISTON, STR., 17 CM </t>
  </si>
  <si>
    <t xml:space="preserve">99,76  </t>
  </si>
  <si>
    <t xml:space="preserve">2.094,96  </t>
  </si>
  <si>
    <t>23-877-15-07</t>
  </si>
  <si>
    <t xml:space="preserve">BONE RONGEUR, BOEHLER, CVD., 15 CM      </t>
  </si>
  <si>
    <t xml:space="preserve">193,21  </t>
  </si>
  <si>
    <t xml:space="preserve">4.057,41  </t>
  </si>
  <si>
    <t>23-885-20-07</t>
  </si>
  <si>
    <t xml:space="preserve">BONE RONGEUR, MARQUARD, 20.5 CM         </t>
  </si>
  <si>
    <t xml:space="preserve">221,67  </t>
  </si>
  <si>
    <t xml:space="preserve">4.655,07  </t>
  </si>
  <si>
    <t>28-100-05-07</t>
  </si>
  <si>
    <t xml:space="preserve">Retractor, breast, 125x30 mm, 27 cm     </t>
  </si>
  <si>
    <t xml:space="preserve">313,82  </t>
  </si>
  <si>
    <t xml:space="preserve">6.590,22  </t>
  </si>
  <si>
    <t>28-100-06-07</t>
  </si>
  <si>
    <t xml:space="preserve">Retractor, breast, 140x30 mm, 27 cm     </t>
  </si>
  <si>
    <t>28-100-07-07</t>
  </si>
  <si>
    <t xml:space="preserve">Elevator, Breast, f. Mammaplasty, 28 cm </t>
  </si>
  <si>
    <t xml:space="preserve">405,55  </t>
  </si>
  <si>
    <t xml:space="preserve">8.516,55  </t>
  </si>
  <si>
    <t>28-100-10-07</t>
  </si>
  <si>
    <t xml:space="preserve">Areola marker, blunt, Ø 36 mm           </t>
  </si>
  <si>
    <t xml:space="preserve">33,71  </t>
  </si>
  <si>
    <t xml:space="preserve">707,91  </t>
  </si>
  <si>
    <t>28-100-11-07</t>
  </si>
  <si>
    <t xml:space="preserve">Areola marker, blunt, Ø 40 mm           </t>
  </si>
  <si>
    <t xml:space="preserve">35,18  </t>
  </si>
  <si>
    <t xml:space="preserve">738,78  </t>
  </si>
  <si>
    <t>11-630-11-07</t>
  </si>
  <si>
    <t xml:space="preserve">IRIS SCISSORS, SH/SH, STR., 11.5 CM     </t>
  </si>
  <si>
    <t xml:space="preserve">25,31  </t>
  </si>
  <si>
    <t xml:space="preserve">1.063,02  </t>
  </si>
  <si>
    <t>15-683-00-07</t>
  </si>
  <si>
    <t xml:space="preserve">RETRACTOR, MATHIEU, SET, 20 CM          </t>
  </si>
  <si>
    <t xml:space="preserve">2.969,82  </t>
  </si>
  <si>
    <t>15-734-20-07</t>
  </si>
  <si>
    <t xml:space="preserve">WOUNDSPREADER, SHARP, 3X4 T., 20 CM     </t>
  </si>
  <si>
    <t xml:space="preserve">87,69  </t>
  </si>
  <si>
    <t xml:space="preserve">1.841,49  </t>
  </si>
  <si>
    <t xml:space="preserve">242,76  </t>
  </si>
  <si>
    <t xml:space="preserve">5,73  </t>
  </si>
  <si>
    <t xml:space="preserve">120,33  </t>
  </si>
  <si>
    <t>24-388-16-07</t>
  </si>
  <si>
    <t xml:space="preserve">ATR. FORCEPS, DE BAKEY, 2 MM, 16 CM     </t>
  </si>
  <si>
    <t xml:space="preserve">32,43  </t>
  </si>
  <si>
    <t xml:space="preserve">681,03  </t>
  </si>
  <si>
    <t>11-673-11-07</t>
  </si>
  <si>
    <t xml:space="preserve">SC-Iris Scissors, sh/sh, cvd., 11,5 cm  </t>
  </si>
  <si>
    <t xml:space="preserve">24,73  </t>
  </si>
  <si>
    <t xml:space="preserve">519,33  </t>
  </si>
  <si>
    <t>11-677-10-07</t>
  </si>
  <si>
    <t>SC-Scissors, Stevens, bl/bl, cvd.,10,5cm</t>
  </si>
  <si>
    <t xml:space="preserve">60,85  </t>
  </si>
  <si>
    <t xml:space="preserve">1.277,85  </t>
  </si>
  <si>
    <t>18-523-08-01</t>
  </si>
  <si>
    <t>Suction tube, Frazier, ø 2.7 mm, 19.5 cm</t>
  </si>
  <si>
    <t xml:space="preserve">430,17  </t>
  </si>
  <si>
    <t xml:space="preserve">9.033,57  </t>
  </si>
  <si>
    <t xml:space="preserve">79,10  </t>
  </si>
  <si>
    <t xml:space="preserve">1.661,10  </t>
  </si>
  <si>
    <t xml:space="preserve">4,22  </t>
  </si>
  <si>
    <t xml:space="preserve">88,62  </t>
  </si>
  <si>
    <t xml:space="preserve">12.Micro Instr. for Micro Surgery. (33) </t>
  </si>
  <si>
    <t>64.442.01</t>
  </si>
  <si>
    <t>VESSEL CLAMP FOR VEINS, APPROXIMATOR LENGTH 11 MM, Ø VESSEL 0,6-1,4 MM CODE: ABB 22V</t>
  </si>
  <si>
    <t xml:space="preserve">91,58  </t>
  </si>
  <si>
    <t xml:space="preserve">3.022,14  </t>
  </si>
  <si>
    <t>64.452.01</t>
  </si>
  <si>
    <t>VESSEL CLAMP FOR ARTERYS, APPROXIMATOR LENGTH 11 MM, Ø VESSEL 0,6-1,4 MM CODE: ABB-22A</t>
  </si>
  <si>
    <t>64.443.01</t>
  </si>
  <si>
    <t>VESSEL CLAMP FOR VEINS, APPROXIMATOR LENGTH 16 MM. Ø VESSEL 1,0-2.2 MM CODE:ABB -33V</t>
  </si>
  <si>
    <t>64.453.01</t>
  </si>
  <si>
    <t>VESSEL CLAMP FOR ARTERYS, APPROXIMATOR LENGTH 16 MM, Ø VESSEL 1,0-2,2 MM CODE: ABB-33A</t>
  </si>
  <si>
    <t>64.444.01</t>
  </si>
  <si>
    <t>VESSEL CLAMP FOR VEINS, APPROXIMATOR LENGTH 25 MM, Ø VESSEL 1,5-3,3 MM CODE: HD-D 4V</t>
  </si>
  <si>
    <t xml:space="preserve">96,58  </t>
  </si>
  <si>
    <t xml:space="preserve">3.187,14  </t>
  </si>
  <si>
    <t>64.454.01</t>
  </si>
  <si>
    <t>VESSEL CLAMP FOR ARTERYS, APPROXIMATOR LENGTH 25 MM, Ø VESSEL 1,5-3,3 MM CODE: HD-D 4A</t>
  </si>
  <si>
    <t>64.445.01</t>
  </si>
  <si>
    <t>VESSEL CLAMP FOR VEINS, APPROXIMATOR LENGTH 36 MM, Ø VESSEL 2,0-5,0 MM CODE: RD-D 5V</t>
  </si>
  <si>
    <t xml:space="preserve">99,74  </t>
  </si>
  <si>
    <t xml:space="preserve">3.291,42  </t>
  </si>
  <si>
    <t>64.455.01</t>
  </si>
  <si>
    <t>VESSEL CLAMP FOR ARTERYS, APPROXIMATOR LENGTH 36 MM, Ø VESSEL 2,0-5,0 MM CODE: A RD-D 5A</t>
  </si>
  <si>
    <t>64.402.01</t>
  </si>
  <si>
    <t>VESSEL CLAMP FOR VEINS, SINGLE CLAMP LENGTH 11 MM, Ø VESSEL 0,6-1,4 MM PU = 2 PCS., CODE: B-2V</t>
  </si>
  <si>
    <t xml:space="preserve">2S </t>
  </si>
  <si>
    <t xml:space="preserve">40,86  </t>
  </si>
  <si>
    <t xml:space="preserve">2.696,76  </t>
  </si>
  <si>
    <t>64.412.01</t>
  </si>
  <si>
    <t>64.403.01</t>
  </si>
  <si>
    <t>VESSEL CLAMP FOR VEINS, SINGLE CLAMP LENGTH 16 MM, Ø VESSEL 1,0-2,2 MM PU = 2 PCS., CODE: B-3V</t>
  </si>
  <si>
    <t xml:space="preserve">39,64  </t>
  </si>
  <si>
    <t xml:space="preserve">2.616,24  </t>
  </si>
  <si>
    <t>64.413.01</t>
  </si>
  <si>
    <t>VESSEL CLAMP FOR ARTERYS, SINGLE CLAMP LENGTH 16 MM, Ø VESSEL 1,0-2,2 MM PU20 PCS.. CODE: B-3A</t>
  </si>
  <si>
    <t>64.404.01</t>
  </si>
  <si>
    <t xml:space="preserve">42,68  </t>
  </si>
  <si>
    <t xml:space="preserve">2.816,88  </t>
  </si>
  <si>
    <t>64.414.01</t>
  </si>
  <si>
    <t>64.405.01</t>
  </si>
  <si>
    <t>VESSEL CLAMP FOR VEINS, SINGLE CLAMP LENGTH 36 MM, Ø VESSEL 2,0-5,0 MM PU = 2 PCS., CODE: RD-S 5V</t>
  </si>
  <si>
    <t xml:space="preserve">45,12  </t>
  </si>
  <si>
    <t xml:space="preserve">2.977,92  </t>
  </si>
  <si>
    <t>64.415.01</t>
  </si>
  <si>
    <t>64.476.01</t>
  </si>
  <si>
    <t>APPLYING FORCEPS WITH LOCK, TOTAL LENGTH 140 MM/5 1/2" STRAIGHT, FOR CLAMP SIZE 1+2+3</t>
  </si>
  <si>
    <t xml:space="preserve">2.123,55  </t>
  </si>
  <si>
    <t>12-564-15-07</t>
  </si>
  <si>
    <t xml:space="preserve">MICRO FORCEPS, STR., 6.0X0.4 MM, 15 CM  </t>
  </si>
  <si>
    <t xml:space="preserve">106,10  </t>
  </si>
  <si>
    <t xml:space="preserve">3.501,30  </t>
  </si>
  <si>
    <t>12-565-15-07</t>
  </si>
  <si>
    <t xml:space="preserve">MICRO FORCEPS, CVD., 6.0X0.4 MM, 15 CM  </t>
  </si>
  <si>
    <t xml:space="preserve">110,47  </t>
  </si>
  <si>
    <t xml:space="preserve">3.645,51  </t>
  </si>
  <si>
    <t>12-591-02-07</t>
  </si>
  <si>
    <t xml:space="preserve">MICRO FORCEPS, 45°, 6X0.3 MM, 15 CM     </t>
  </si>
  <si>
    <t xml:space="preserve">132,63  </t>
  </si>
  <si>
    <t xml:space="preserve">4.376,79  </t>
  </si>
  <si>
    <t>12-561-02-07</t>
  </si>
  <si>
    <t>DILATING-FORCEPS, 10°, 5X0.2 MM, 13.5 CM</t>
  </si>
  <si>
    <t xml:space="preserve">86,65  </t>
  </si>
  <si>
    <t xml:space="preserve">2.859,45  </t>
  </si>
  <si>
    <t>12-561-03-07</t>
  </si>
  <si>
    <t>DILATING-FORCEPS, 10°, 5X0.3 MM, 13.5 CM</t>
  </si>
  <si>
    <t xml:space="preserve">71,13  </t>
  </si>
  <si>
    <t xml:space="preserve">2.347,29  </t>
  </si>
  <si>
    <t>11-711-19-07</t>
  </si>
  <si>
    <t xml:space="preserve">MICRO SCISS., BL/BL, CVD., 18 CM        </t>
  </si>
  <si>
    <t xml:space="preserve">137,79  </t>
  </si>
  <si>
    <t xml:space="preserve">4.547,07  </t>
  </si>
  <si>
    <t>11-710-15-07</t>
  </si>
  <si>
    <t xml:space="preserve">MICRO SCISS., SH/SH, STR., 15 CM        </t>
  </si>
  <si>
    <t xml:space="preserve">119,99  </t>
  </si>
  <si>
    <t xml:space="preserve">3.959,67  </t>
  </si>
  <si>
    <t>11-711-15-07</t>
  </si>
  <si>
    <t xml:space="preserve">MICRO SCISS., SH/SH, CVD., 15 CM        </t>
  </si>
  <si>
    <t xml:space="preserve">130,27  </t>
  </si>
  <si>
    <t xml:space="preserve">4.298,91  </t>
  </si>
  <si>
    <t>20-003-15-07</t>
  </si>
  <si>
    <t>MICRO NEEDLEHOLDER, CVD., W. LOCK, 15 CM</t>
  </si>
  <si>
    <t xml:space="preserve">173,39  </t>
  </si>
  <si>
    <t xml:space="preserve">5.721,87  </t>
  </si>
  <si>
    <t>20-002-15-07</t>
  </si>
  <si>
    <t>MICRO NEEDLEHOLDER, STR., W. LOCK, 15 CM</t>
  </si>
  <si>
    <t xml:space="preserve">168,94  </t>
  </si>
  <si>
    <t xml:space="preserve">5.575,02  </t>
  </si>
  <si>
    <t>55-804-15-01</t>
  </si>
  <si>
    <t xml:space="preserve">marTray, mini, 277x172x51 mm            </t>
  </si>
  <si>
    <t xml:space="preserve">105,19  </t>
  </si>
  <si>
    <t xml:space="preserve">3.471,27  </t>
  </si>
  <si>
    <t>55-009-09-04</t>
  </si>
  <si>
    <t xml:space="preserve">Silicone Mat f. Miniset Tray            </t>
  </si>
  <si>
    <t xml:space="preserve">17,12  </t>
  </si>
  <si>
    <t xml:space="preserve">564,96  </t>
  </si>
  <si>
    <t>55-302-75-01</t>
  </si>
  <si>
    <t xml:space="preserve">NEEDLE CASE, PERFORATED, 75X25X4.5 MM   </t>
  </si>
  <si>
    <t xml:space="preserve">19,77  </t>
  </si>
  <si>
    <t xml:space="preserve">652,41  </t>
  </si>
  <si>
    <t>55-861-70-04</t>
  </si>
  <si>
    <t>MICROSTOP MINISET CONTAINER 310X189X90MM</t>
  </si>
  <si>
    <t xml:space="preserve">193,66  </t>
  </si>
  <si>
    <t xml:space="preserve">6.390,78  </t>
  </si>
  <si>
    <t>13.Maxillofac. Surg. Instr. Product. (26</t>
  </si>
  <si>
    <t xml:space="preserve">4,49  </t>
  </si>
  <si>
    <t xml:space="preserve">116,74  </t>
  </si>
  <si>
    <t xml:space="preserve">44,90  </t>
  </si>
  <si>
    <t xml:space="preserve">1.167,40  </t>
  </si>
  <si>
    <t>42-027-00-07</t>
  </si>
  <si>
    <t xml:space="preserve">CRYER ROOT ELEVATOR FIG. 27             </t>
  </si>
  <si>
    <t xml:space="preserve">34,44  </t>
  </si>
  <si>
    <t xml:space="preserve">895,44  </t>
  </si>
  <si>
    <t>42-028-00-07</t>
  </si>
  <si>
    <t xml:space="preserve">CRYER ROOT ELEVATOR FIG. 28             </t>
  </si>
  <si>
    <t>23-452-09-07</t>
  </si>
  <si>
    <t xml:space="preserve">MOLT-PERIOSTEAL ELEVATOR, FIG.9         </t>
  </si>
  <si>
    <t xml:space="preserve">21,54  </t>
  </si>
  <si>
    <t xml:space="preserve">560,04  </t>
  </si>
  <si>
    <t>38-405-03-07</t>
  </si>
  <si>
    <t xml:space="preserve">AUSTIN SOFT TISSUE RETRACTOR, LONG      </t>
  </si>
  <si>
    <t xml:space="preserve">21,34  </t>
  </si>
  <si>
    <t xml:space="preserve">554,84  </t>
  </si>
  <si>
    <t>42-415-02-07</t>
  </si>
  <si>
    <t xml:space="preserve">COUPLAND ROOT ELEVATOR, 2,5 MM          </t>
  </si>
  <si>
    <t xml:space="preserve">28,48  </t>
  </si>
  <si>
    <t xml:space="preserve">740,48  </t>
  </si>
  <si>
    <t>42-576-01-07</t>
  </si>
  <si>
    <t xml:space="preserve">WARWICK-JAMES ROOT ELEVATOR, FIG. 1     </t>
  </si>
  <si>
    <t xml:space="preserve">29,27  </t>
  </si>
  <si>
    <t xml:space="preserve">761,02  </t>
  </si>
  <si>
    <t>42-587-02-07</t>
  </si>
  <si>
    <t xml:space="preserve">HEIDEBRINK ROOT TIP TEASER FIG.2        </t>
  </si>
  <si>
    <t xml:space="preserve">34,07  </t>
  </si>
  <si>
    <t xml:space="preserve">885,82  </t>
  </si>
  <si>
    <t>23-362-11-07</t>
  </si>
  <si>
    <t xml:space="preserve">LUCAS-MARTIN BONE CURETTE, FIG. 1/1     </t>
  </si>
  <si>
    <t xml:space="preserve">18,36  </t>
  </si>
  <si>
    <t xml:space="preserve">477,36  </t>
  </si>
  <si>
    <t>38-130-56-07</t>
  </si>
  <si>
    <t xml:space="preserve">MOUTH PROP, MCKESSON, S, F. CHILDES     </t>
  </si>
  <si>
    <t xml:space="preserve">37,02  </t>
  </si>
  <si>
    <t xml:space="preserve">962,52  </t>
  </si>
  <si>
    <t>38-130-54-07</t>
  </si>
  <si>
    <t xml:space="preserve">MOUTH PROP, MCKESSON, L, F. ADULTS      </t>
  </si>
  <si>
    <t>38-130-50-07</t>
  </si>
  <si>
    <t xml:space="preserve">MOUTH PROP, MCKESSON, XXL, F. TEEHTLESS </t>
  </si>
  <si>
    <t xml:space="preserve">US </t>
  </si>
  <si>
    <t>20-350-15-07</t>
  </si>
  <si>
    <t>NEEDLEHOLDER, CRILE-WOOD, GROOVED, 15 CM</t>
  </si>
  <si>
    <t xml:space="preserve">35,42  </t>
  </si>
  <si>
    <t xml:space="preserve">920,92  </t>
  </si>
  <si>
    <t>11-633-11-07</t>
  </si>
  <si>
    <t>IRIS SCISSORS, SH/SH, CVD. DOWN, 11.5 CM</t>
  </si>
  <si>
    <t xml:space="preserve">35,23  </t>
  </si>
  <si>
    <t xml:space="preserve">915,98  </t>
  </si>
  <si>
    <t>23-491-01-07</t>
  </si>
  <si>
    <t>BONE FILE, CROSS SERRATION, NO. 1, 18 CM</t>
  </si>
  <si>
    <t xml:space="preserve">45,05  </t>
  </si>
  <si>
    <t xml:space="preserve">1.171,30  </t>
  </si>
  <si>
    <t>18-523-09-01</t>
  </si>
  <si>
    <t>Suction tube, Frazier, ø 3.0 mm, 19.5 cm</t>
  </si>
  <si>
    <t xml:space="preserve">15,02  </t>
  </si>
  <si>
    <t xml:space="preserve">390,52  </t>
  </si>
  <si>
    <t>23-136-04-07</t>
  </si>
  <si>
    <t xml:space="preserve">OSTEOTOME, MINI-LAMBOTTE, 4 MM, 12.5 CM </t>
  </si>
  <si>
    <t xml:space="preserve">18,97  </t>
  </si>
  <si>
    <t xml:space="preserve">493,22  </t>
  </si>
  <si>
    <t xml:space="preserve">20,57  </t>
  </si>
  <si>
    <t xml:space="preserve">534,82  </t>
  </si>
  <si>
    <t xml:space="preserve">78,15  </t>
  </si>
  <si>
    <t xml:space="preserve">2.031,90  </t>
  </si>
  <si>
    <t>42-746-02-07</t>
  </si>
  <si>
    <t xml:space="preserve">MOUTH MIRROR HANDLE, ROUND              </t>
  </si>
  <si>
    <t xml:space="preserve">3,75  </t>
  </si>
  <si>
    <t xml:space="preserve">97,50  </t>
  </si>
  <si>
    <t>42-702-24-07</t>
  </si>
  <si>
    <t xml:space="preserve">MOUTH MIRROR, PL.F.5   22 MM            </t>
  </si>
  <si>
    <t xml:space="preserve">1,85  </t>
  </si>
  <si>
    <t xml:space="preserve">48,10  </t>
  </si>
  <si>
    <t>43-402-66-07</t>
  </si>
  <si>
    <t xml:space="preserve">EXPLORER, R. HANDLE FIG. 6XL            </t>
  </si>
  <si>
    <t xml:space="preserve">5,36  </t>
  </si>
  <si>
    <t xml:space="preserve">139,36  </t>
  </si>
  <si>
    <t>38-700-02-07</t>
  </si>
  <si>
    <t xml:space="preserve">REPOSITION FORCEPS, ROWE, L., 24 CM     </t>
  </si>
  <si>
    <t xml:space="preserve">238,35  </t>
  </si>
  <si>
    <t xml:space="preserve">6.197,10  </t>
  </si>
  <si>
    <t>38-701-02-07</t>
  </si>
  <si>
    <t xml:space="preserve">REPOSITION FORCEPS, ROWE, R., 24 CM     </t>
  </si>
  <si>
    <t>23-721-14-07</t>
  </si>
  <si>
    <t xml:space="preserve">REPOSITION FORCEPS, LONG RATCHET, 15 CM </t>
  </si>
  <si>
    <t xml:space="preserve">107,40  </t>
  </si>
  <si>
    <t xml:space="preserve">2.792,40  </t>
  </si>
  <si>
    <t>38-750-16-07</t>
  </si>
  <si>
    <t xml:space="preserve">TMJ-SPREADER, CHAMPY-TYPE, 16 CM        </t>
  </si>
  <si>
    <t xml:space="preserve">234,42  </t>
  </si>
  <si>
    <t xml:space="preserve">6.094,92  </t>
  </si>
  <si>
    <t xml:space="preserve">27,87  </t>
  </si>
  <si>
    <t xml:space="preserve">724,62  </t>
  </si>
  <si>
    <t>38-616-10-07</t>
  </si>
  <si>
    <t xml:space="preserve">OUTER PROGENY RETRACTOR, LAUER, 15 CM   </t>
  </si>
  <si>
    <t xml:space="preserve">117,85  </t>
  </si>
  <si>
    <t xml:space="preserve">3.064,10  </t>
  </si>
  <si>
    <t>48-125-15-07</t>
  </si>
  <si>
    <t>CHIN RETRACTOR, OBWEGES., 16.5 MM, 16 CM</t>
  </si>
  <si>
    <t xml:space="preserve">82,31  </t>
  </si>
  <si>
    <t xml:space="preserve">2.140,06  </t>
  </si>
  <si>
    <t>38-607-22-07</t>
  </si>
  <si>
    <t xml:space="preserve">RAMUS RETRACTOR, OBWEGESER, 22 CM       </t>
  </si>
  <si>
    <t xml:space="preserve">56,40  </t>
  </si>
  <si>
    <t xml:space="preserve">1.466,40  </t>
  </si>
  <si>
    <t xml:space="preserve">16,16  </t>
  </si>
  <si>
    <t xml:space="preserve">420,16  </t>
  </si>
  <si>
    <t>15-095-20-07</t>
  </si>
  <si>
    <t>HOOKLET, MINI-LANGENBECK, 20X6 MM, 16 CM</t>
  </si>
  <si>
    <t xml:space="preserve">32,26  </t>
  </si>
  <si>
    <t xml:space="preserve">838,76  </t>
  </si>
  <si>
    <t xml:space="preserve">25,88  </t>
  </si>
  <si>
    <t xml:space="preserve">672,88  </t>
  </si>
  <si>
    <t>15-299-01-07</t>
  </si>
  <si>
    <t xml:space="preserve">Retract., Langenbeck, 40x13 mm, 21,5 cm </t>
  </si>
  <si>
    <t xml:space="preserve">35,89  </t>
  </si>
  <si>
    <t xml:space="preserve">933,14  </t>
  </si>
  <si>
    <t>38-725-03-07</t>
  </si>
  <si>
    <t>RETRACTOR,SUPERI.,DUNN-DAUTREY,8.0X50 MM</t>
  </si>
  <si>
    <t xml:space="preserve">56,21  </t>
  </si>
  <si>
    <t xml:space="preserve">2.922,92  </t>
  </si>
  <si>
    <t>38-691-01-07</t>
  </si>
  <si>
    <t xml:space="preserve">ORBITAL RETRACTOR, ROWE, RIGHT, 19 CM   </t>
  </si>
  <si>
    <t xml:space="preserve">120,86  </t>
  </si>
  <si>
    <t xml:space="preserve">3.142,36  </t>
  </si>
  <si>
    <t>38-691-02-07</t>
  </si>
  <si>
    <t xml:space="preserve">ORBITAL RETRACTOR, ROWE, LEFT, 19 CM    </t>
  </si>
  <si>
    <t>DISSECT. SCISSORS, FINE, CVD., 23 CM</t>
  </si>
  <si>
    <t xml:space="preserve">48,52  </t>
  </si>
  <si>
    <t xml:space="preserve">1.261,52  </t>
  </si>
  <si>
    <t>09-008-43-07</t>
  </si>
  <si>
    <t xml:space="preserve">Elevator, Bristow, 23 cm                </t>
  </si>
  <si>
    <t xml:space="preserve">32,04  </t>
  </si>
  <si>
    <t xml:space="preserve">833,04  </t>
  </si>
  <si>
    <t>23-428-06-04</t>
  </si>
  <si>
    <t xml:space="preserve">Raspatory, str., str., si., 20 cm       </t>
  </si>
  <si>
    <t xml:space="preserve">1.980,16  </t>
  </si>
  <si>
    <t>23-432-18-04</t>
  </si>
  <si>
    <t xml:space="preserve">Raspatory, cvd., round, si., 20 cm      </t>
  </si>
  <si>
    <t xml:space="preserve">72,25  </t>
  </si>
  <si>
    <t xml:space="preserve">1.878,50  </t>
  </si>
  <si>
    <t>42-576-02-07</t>
  </si>
  <si>
    <t xml:space="preserve">WARWICK-JAMES ROOT ELEVATOR, FIG. 2L    </t>
  </si>
  <si>
    <t>42-576-03-07</t>
  </si>
  <si>
    <t xml:space="preserve">WARWICK-JAMES ROOT ELEVATOR, FIG. 3R    </t>
  </si>
  <si>
    <t xml:space="preserve">17,54  </t>
  </si>
  <si>
    <t xml:space="preserve">912,08  </t>
  </si>
  <si>
    <t xml:space="preserve">55,66  </t>
  </si>
  <si>
    <t xml:space="preserve">2.894,32  </t>
  </si>
  <si>
    <t>20-634-13-07</t>
  </si>
  <si>
    <t xml:space="preserve">TC-NEEDLEHOLDER, HEGAR-BAUMGART., 13 CM </t>
  </si>
  <si>
    <t xml:space="preserve">53,20  </t>
  </si>
  <si>
    <t xml:space="preserve">1.383,20  </t>
  </si>
  <si>
    <t>20-634-14-07</t>
  </si>
  <si>
    <t>TC-NEEDLEHOLDER, HEGAR-BAUMGAR., 14.5 CM</t>
  </si>
  <si>
    <t xml:space="preserve">54,84  </t>
  </si>
  <si>
    <t xml:space="preserve">1.425,84  </t>
  </si>
  <si>
    <t>20-650-13-07</t>
  </si>
  <si>
    <t xml:space="preserve">TC-NEEDLEHOLDER, RYDER-MARTIN, 12.5 CM  </t>
  </si>
  <si>
    <t xml:space="preserve">106,45  </t>
  </si>
  <si>
    <t xml:space="preserve">2.767,70  </t>
  </si>
  <si>
    <t>20-650-15-07</t>
  </si>
  <si>
    <t xml:space="preserve">TC-NEEDLEHOLDER, RYDER-MARTIN, 15 CM    </t>
  </si>
  <si>
    <t xml:space="preserve">73,98  </t>
  </si>
  <si>
    <t xml:space="preserve">1.923,48  </t>
  </si>
  <si>
    <t>11-681-11-07</t>
  </si>
  <si>
    <t xml:space="preserve">TENOTOMY SCISSORS, SH/SH, CVD., 11 CM   </t>
  </si>
  <si>
    <t xml:space="preserve">1.058,20  </t>
  </si>
  <si>
    <t xml:space="preserve">54,31  </t>
  </si>
  <si>
    <t xml:space="preserve">1.412,06  </t>
  </si>
  <si>
    <t>11-365-15-07</t>
  </si>
  <si>
    <t xml:space="preserve">SCISSORS, REYNOLDS, CVD., 15.5 CM       </t>
  </si>
  <si>
    <t xml:space="preserve">47,13  </t>
  </si>
  <si>
    <t xml:space="preserve">1.225,38  </t>
  </si>
  <si>
    <t>11-365-18-07</t>
  </si>
  <si>
    <t xml:space="preserve">SCISSORS, REYNOLDS, CVD., 18 CM         </t>
  </si>
  <si>
    <t xml:space="preserve">49,29  </t>
  </si>
  <si>
    <t xml:space="preserve">1.281,54  </t>
  </si>
  <si>
    <t xml:space="preserve">8,49  </t>
  </si>
  <si>
    <t xml:space="preserve">220,74  </t>
  </si>
  <si>
    <t xml:space="preserve">6,76  </t>
  </si>
  <si>
    <t xml:space="preserve">175,76  </t>
  </si>
  <si>
    <t>28-203-15-07</t>
  </si>
  <si>
    <t xml:space="preserve">SKIN HOOKLET, KILNER, GRACILE, 14.5 CM  </t>
  </si>
  <si>
    <t xml:space="preserve">924,04  </t>
  </si>
  <si>
    <t>13-321-10-07</t>
  </si>
  <si>
    <t xml:space="preserve">FORCEPS MICRO-MOSQUITO, CVD., 10 CM     </t>
  </si>
  <si>
    <t xml:space="preserve">15,60  </t>
  </si>
  <si>
    <t xml:space="preserve">405,60  </t>
  </si>
  <si>
    <t>13-347-16-07</t>
  </si>
  <si>
    <t xml:space="preserve">FORCEPS, CRILE-RANKIN, CVD., 16 CM      </t>
  </si>
  <si>
    <t xml:space="preserve">15,70  </t>
  </si>
  <si>
    <t xml:space="preserve">408,20  </t>
  </si>
  <si>
    <t>11-819-13-07</t>
  </si>
  <si>
    <t xml:space="preserve">LIGAT. SCISSORS, NORTHBENT, CVD., 13 CM </t>
  </si>
  <si>
    <t xml:space="preserve">39,31  </t>
  </si>
  <si>
    <t xml:space="preserve">1.022,06  </t>
  </si>
  <si>
    <t xml:space="preserve">47,93  </t>
  </si>
  <si>
    <t xml:space="preserve">1.246,18  </t>
  </si>
  <si>
    <t xml:space="preserve">29,14  </t>
  </si>
  <si>
    <t xml:space="preserve">757,64  </t>
  </si>
  <si>
    <t xml:space="preserve">14.Maxillofacial Instrument Set (34)    </t>
  </si>
  <si>
    <t xml:space="preserve">100,17  </t>
  </si>
  <si>
    <t xml:space="preserve">6.811,56  </t>
  </si>
  <si>
    <t>38-297-02-01</t>
  </si>
  <si>
    <t xml:space="preserve">TONGUE DEPRESSOR, WIEDER, 43 MM, 15 CM  </t>
  </si>
  <si>
    <t xml:space="preserve">17,83  </t>
  </si>
  <si>
    <t xml:space="preserve">606,22  </t>
  </si>
  <si>
    <t>38-297-01-01</t>
  </si>
  <si>
    <t xml:space="preserve">TONGUE DEPRESSOR, WIEDER, 36 MM, 14 CM  </t>
  </si>
  <si>
    <t>38-130-58-07</t>
  </si>
  <si>
    <t xml:space="preserve">MOUTH PROP, MCKESSON, S, F. INFANTS     </t>
  </si>
  <si>
    <t xml:space="preserve">33,79  </t>
  </si>
  <si>
    <t xml:space="preserve">1.148,86  </t>
  </si>
  <si>
    <t>38-130-52-07</t>
  </si>
  <si>
    <t xml:space="preserve">MOUTH PROP, MCKESSON, XL, F. ADULTS     </t>
  </si>
  <si>
    <t>11-566-13-07</t>
  </si>
  <si>
    <t>SCISSORS, GOLDM.-FOX, STR., SERR., 13 CM</t>
  </si>
  <si>
    <t xml:space="preserve">20,97  </t>
  </si>
  <si>
    <t xml:space="preserve">1.425,96  </t>
  </si>
  <si>
    <t>48-121-08-07</t>
  </si>
  <si>
    <t xml:space="preserve">CHANNEL RETR., OBWEGESER, 9 MM, 16.5 CM </t>
  </si>
  <si>
    <t xml:space="preserve">59,95  </t>
  </si>
  <si>
    <t xml:space="preserve">2.038,30  </t>
  </si>
  <si>
    <t>48-121-10-07</t>
  </si>
  <si>
    <t>CHANNEL RETR., OBWEGESER, 10 MM, 16.5 CM</t>
  </si>
  <si>
    <t xml:space="preserve">51,48  </t>
  </si>
  <si>
    <t xml:space="preserve">1.750,32  </t>
  </si>
  <si>
    <t>38-711-01-01</t>
  </si>
  <si>
    <t xml:space="preserve">MAXILLARY MOBILIZER, TESSIER, LEFT      </t>
  </si>
  <si>
    <t xml:space="preserve">57,06  </t>
  </si>
  <si>
    <t xml:space="preserve">1.940,04  </t>
  </si>
  <si>
    <t>38-711-02-01</t>
  </si>
  <si>
    <t xml:space="preserve">MAXILLARY MOBILIZER, TESSIER, RIGHT     </t>
  </si>
  <si>
    <t>48-130-09-07</t>
  </si>
  <si>
    <t xml:space="preserve">RASPATORY, OBWEGESER, 9 MM, 18 CM       </t>
  </si>
  <si>
    <t xml:space="preserve">61,94  </t>
  </si>
  <si>
    <t xml:space="preserve">2.105,96  </t>
  </si>
  <si>
    <t>48-150-01-07</t>
  </si>
  <si>
    <t xml:space="preserve">RAMUS STRIPPER, OBWEG., 7.5 MM, 17.5 CM </t>
  </si>
  <si>
    <t>23-434-13-07</t>
  </si>
  <si>
    <t xml:space="preserve">Raspatory, str., round, 5 mm, 12.5 cm   </t>
  </si>
  <si>
    <t xml:space="preserve">23,34  </t>
  </si>
  <si>
    <t xml:space="preserve">793,56  </t>
  </si>
  <si>
    <t>35-133-07-07</t>
  </si>
  <si>
    <t xml:space="preserve">CALIPER, CASTROV., STR., 0-20 MM, 8 CM  </t>
  </si>
  <si>
    <t xml:space="preserve">129,97  </t>
  </si>
  <si>
    <t xml:space="preserve">4.418,98  </t>
  </si>
  <si>
    <t>23-139-04-07</t>
  </si>
  <si>
    <t xml:space="preserve">Osteotome, Lambotte, cvd., 4 mm, 24 cm  </t>
  </si>
  <si>
    <t xml:space="preserve">41,32  </t>
  </si>
  <si>
    <t xml:space="preserve">1.404,88  </t>
  </si>
  <si>
    <t>23-139-06-07</t>
  </si>
  <si>
    <t xml:space="preserve">Osteotome, Lambotte, cvd., 6 mm, 24 cm  </t>
  </si>
  <si>
    <t>23-139-10-07</t>
  </si>
  <si>
    <t xml:space="preserve">Osteotome, Lambotte, cvd., 10 mm, 24 cm </t>
  </si>
  <si>
    <t>23-138-04-07</t>
  </si>
  <si>
    <t xml:space="preserve">Osteotome, Lambotte, 4 mm, 24 cm        </t>
  </si>
  <si>
    <t xml:space="preserve">42,04  </t>
  </si>
  <si>
    <t xml:space="preserve">2.858,72  </t>
  </si>
  <si>
    <t>23-138-06-07</t>
  </si>
  <si>
    <t xml:space="preserve">Osteotome, Lambotte, 6 mm, 24 cm        </t>
  </si>
  <si>
    <t>23-138-10-07</t>
  </si>
  <si>
    <t xml:space="preserve">Osteotome, Lambotte, 10 mm, 24 cm       </t>
  </si>
  <si>
    <t xml:space="preserve">40,78  </t>
  </si>
  <si>
    <t xml:space="preserve">2.773,04  </t>
  </si>
  <si>
    <t>23-131-05-04</t>
  </si>
  <si>
    <t xml:space="preserve">Spongiosa gouge, str., si., 5mm, 24.5cm </t>
  </si>
  <si>
    <t xml:space="preserve">101,66  </t>
  </si>
  <si>
    <t xml:space="preserve">3.456,44  </t>
  </si>
  <si>
    <t>48-166-08-07</t>
  </si>
  <si>
    <t xml:space="preserve">OSTEOTOME, OBWEGESER, CVD., 8 MM, 23 CM </t>
  </si>
  <si>
    <t xml:space="preserve">97,13  </t>
  </si>
  <si>
    <t xml:space="preserve">6.604,84  </t>
  </si>
  <si>
    <t xml:space="preserve">79,97  </t>
  </si>
  <si>
    <t xml:space="preserve">2.718,98  </t>
  </si>
  <si>
    <t xml:space="preserve">217,53  </t>
  </si>
  <si>
    <t xml:space="preserve">7.396,02  </t>
  </si>
  <si>
    <t>38-700-03-07</t>
  </si>
  <si>
    <t xml:space="preserve">REPOSITION FORCEPS, ROWE, L., 24.5 CM   </t>
  </si>
  <si>
    <t>38-701-03-07</t>
  </si>
  <si>
    <t xml:space="preserve">REPOSITION FORCEPS, ROWE, R., 24.5 CM   </t>
  </si>
  <si>
    <t>38-700-01-07</t>
  </si>
  <si>
    <t xml:space="preserve">REPOSITION FORCEPS, ROWE, L., 21.5 CM   </t>
  </si>
  <si>
    <t>38-701-01-07</t>
  </si>
  <si>
    <t xml:space="preserve">REPOSITION FORCEPS, ROWE, R., 21.5 CM   </t>
  </si>
  <si>
    <t>48-117-01-07</t>
  </si>
  <si>
    <t xml:space="preserve">RAMUS FCPS., OBWEG., LARGE, R., 17 CM   </t>
  </si>
  <si>
    <t xml:space="preserve">135,04  </t>
  </si>
  <si>
    <t xml:space="preserve">4.591,36  </t>
  </si>
  <si>
    <t>48-117-02-07</t>
  </si>
  <si>
    <t xml:space="preserve">RAMUS FCPS., OBWEG., LARGE, L., 17 CM   </t>
  </si>
  <si>
    <t>37-724-01-07</t>
  </si>
  <si>
    <t xml:space="preserve">SEPTUM STRAIGHTENING FCPS., STR., 23 CM </t>
  </si>
  <si>
    <t xml:space="preserve">100,29  </t>
  </si>
  <si>
    <t xml:space="preserve">3.409,86  </t>
  </si>
  <si>
    <t>37-725-23-07</t>
  </si>
  <si>
    <t xml:space="preserve">SEPTUM STRAIGHT. FORCEPS, ASCH, 22.5 CM </t>
  </si>
  <si>
    <t xml:space="preserve">91,43  </t>
  </si>
  <si>
    <t xml:space="preserve">3.108,62  </t>
  </si>
  <si>
    <t>38-846-20-07</t>
  </si>
  <si>
    <t xml:space="preserve">RAMUS SEPARATOR, SMITH, 23.5 CM         </t>
  </si>
  <si>
    <t xml:space="preserve">212,11  </t>
  </si>
  <si>
    <t xml:space="preserve">14.423,48  </t>
  </si>
  <si>
    <t>48-196-14-07</t>
  </si>
  <si>
    <t>TC-WIRE TWISTING FCPS., OBWEGESER, 14 CM</t>
  </si>
  <si>
    <t xml:space="preserve">67,14  </t>
  </si>
  <si>
    <t xml:space="preserve">4.565,52  </t>
  </si>
  <si>
    <t>22-523-22-07</t>
  </si>
  <si>
    <t xml:space="preserve">TC-SIDE NIPPER, W. TRANSM., 23 CM       </t>
  </si>
  <si>
    <t xml:space="preserve">284,12  </t>
  </si>
  <si>
    <t xml:space="preserve">19.320,16  </t>
  </si>
  <si>
    <t>38-739-14-07</t>
  </si>
  <si>
    <t xml:space="preserve">TMJ-CONDYLE RTERACTOR, DOLWICK, 14.5 CM </t>
  </si>
  <si>
    <t xml:space="preserve">132,19  </t>
  </si>
  <si>
    <t xml:space="preserve">4.494,46  </t>
  </si>
  <si>
    <t>38-501-24-01</t>
  </si>
  <si>
    <t xml:space="preserve">EXTRAORAL RETRACTOR, 9.5X16 MM, 22 CM   </t>
  </si>
  <si>
    <t xml:space="preserve">42,79  </t>
  </si>
  <si>
    <t xml:space="preserve">1.454,86  </t>
  </si>
  <si>
    <t xml:space="preserve">213,94  </t>
  </si>
  <si>
    <t xml:space="preserve">7.273,96  </t>
  </si>
  <si>
    <t>50-325-11-07</t>
  </si>
  <si>
    <t xml:space="preserve">ECKELT TMJ CLAMP LEFT                   </t>
  </si>
  <si>
    <t xml:space="preserve">154,30  </t>
  </si>
  <si>
    <t xml:space="preserve">5.246,20  </t>
  </si>
  <si>
    <t>50-325-12-07</t>
  </si>
  <si>
    <t xml:space="preserve">ECKELT TMJ CLAMP RIGHT                  </t>
  </si>
  <si>
    <t>37-684-15-07</t>
  </si>
  <si>
    <t xml:space="preserve">MUCOUS HOOKLET, JOSEPH, SHARP, 15.5 CM  </t>
  </si>
  <si>
    <t xml:space="preserve">15,64  </t>
  </si>
  <si>
    <t xml:space="preserve">2.658,80  </t>
  </si>
  <si>
    <t xml:space="preserve">16,76  </t>
  </si>
  <si>
    <t xml:space="preserve">1.139,68  </t>
  </si>
  <si>
    <t>23-352-17-07</t>
  </si>
  <si>
    <t xml:space="preserve">BONE CURETTE, VOLKMANN, OV./OV., 17 CM  </t>
  </si>
  <si>
    <t xml:space="preserve">23,85  </t>
  </si>
  <si>
    <t xml:space="preserve">1.621,80  </t>
  </si>
  <si>
    <t>48-175-15-07</t>
  </si>
  <si>
    <t xml:space="preserve">MANDIBULA-AWL, OBWEGESER, 15 CM         </t>
  </si>
  <si>
    <t xml:space="preserve">55,21  </t>
  </si>
  <si>
    <t xml:space="preserve">3.754,28  </t>
  </si>
  <si>
    <t>48-175-17-07</t>
  </si>
  <si>
    <t xml:space="preserve">MANDIBULA-AWL, OBWEGESER, 17.5 CM       </t>
  </si>
  <si>
    <t xml:space="preserve">58,13  </t>
  </si>
  <si>
    <t xml:space="preserve">1.976,42  </t>
  </si>
  <si>
    <t>48-177-24-07</t>
  </si>
  <si>
    <t xml:space="preserve">ZYGOMATIC AWL, OBWEGESER, 24 CM         </t>
  </si>
  <si>
    <t xml:space="preserve">4.076,60  </t>
  </si>
  <si>
    <t>15-240-01-07</t>
  </si>
  <si>
    <t>RETRACTOR, KOCHER, SHARP, 1-PR., 22.5 CM</t>
  </si>
  <si>
    <t xml:space="preserve">32,67  </t>
  </si>
  <si>
    <t xml:space="preserve">2.221,56  </t>
  </si>
  <si>
    <t>38-715-19-07</t>
  </si>
  <si>
    <t xml:space="preserve">HOOK, DINGMANN-WILK, SHARP, 20 CM       </t>
  </si>
  <si>
    <t xml:space="preserve">56,13  </t>
  </si>
  <si>
    <t xml:space="preserve">3.816,84  </t>
  </si>
  <si>
    <t>22-500-15-07</t>
  </si>
  <si>
    <t xml:space="preserve">TC-WIRE TWISTING FORCEPS, FINE, 15.5 CM </t>
  </si>
  <si>
    <t xml:space="preserve">54,34  </t>
  </si>
  <si>
    <t xml:space="preserve">3.695,12  </t>
  </si>
  <si>
    <t>22-523-24-07</t>
  </si>
  <si>
    <t xml:space="preserve">TC-SIDE NIPPER, PEAR-LOCK, 23CM         </t>
  </si>
  <si>
    <t xml:space="preserve">291,56  </t>
  </si>
  <si>
    <t xml:space="preserve">19.826,08  </t>
  </si>
  <si>
    <t>11-878-12-07</t>
  </si>
  <si>
    <t>WIRE SCISSORS, SH/SH, STR., SERR., 12 CM</t>
  </si>
  <si>
    <t xml:space="preserve">19,49  </t>
  </si>
  <si>
    <t xml:space="preserve">1.325,32  </t>
  </si>
  <si>
    <t>55-804-25-01</t>
  </si>
  <si>
    <t xml:space="preserve">marTray, 1/2, 240x251x44 mm             </t>
  </si>
  <si>
    <t xml:space="preserve">48,93  </t>
  </si>
  <si>
    <t xml:space="preserve">1.663,62  </t>
  </si>
  <si>
    <t>55-807-24-04</t>
  </si>
  <si>
    <t xml:space="preserve">SILICONE MAT F. 1/2 TRAY, 234x244 MM    </t>
  </si>
  <si>
    <t xml:space="preserve">18,39  </t>
  </si>
  <si>
    <t xml:space="preserve">625,26  </t>
  </si>
  <si>
    <t>23-433-18-04</t>
  </si>
  <si>
    <t xml:space="preserve">Raspatory, cvd., str., si., 20 CM       </t>
  </si>
  <si>
    <t xml:space="preserve">2.363,34  </t>
  </si>
  <si>
    <t>23-946-15-07</t>
  </si>
  <si>
    <t xml:space="preserve">BONE CUTT. FORCEPS, BOEHLER, CVD.,14CM  </t>
  </si>
  <si>
    <t xml:space="preserve">196,31  </t>
  </si>
  <si>
    <t xml:space="preserve">6.674,54  </t>
  </si>
  <si>
    <t xml:space="preserve">207,70  </t>
  </si>
  <si>
    <t xml:space="preserve">7.061,80  </t>
  </si>
  <si>
    <t>23-188-00-07</t>
  </si>
  <si>
    <t xml:space="preserve">BONE BIOPSY-INSTRUMENT, CHAMPY-O.S.U.   </t>
  </si>
  <si>
    <t xml:space="preserve">305,07  </t>
  </si>
  <si>
    <t xml:space="preserve">10.372,38  </t>
  </si>
  <si>
    <t>15-669-13-01</t>
  </si>
  <si>
    <t xml:space="preserve">RETRACTOR, DOUBLE, BABY-ROUX, 12.5 CM   </t>
  </si>
  <si>
    <t xml:space="preserve">10,89  </t>
  </si>
  <si>
    <t xml:space="preserve">740,52  </t>
  </si>
  <si>
    <t xml:space="preserve">25,34  </t>
  </si>
  <si>
    <t xml:space="preserve">861,56  </t>
  </si>
  <si>
    <t xml:space="preserve">15.Cleft Lip &amp; Palate Instr. Set (34)   </t>
  </si>
  <si>
    <t>37-581-22-07</t>
  </si>
  <si>
    <t xml:space="preserve">SEPTUM ELEVATOR, COTTLE, 3.7 MM, 23 CM  </t>
  </si>
  <si>
    <t xml:space="preserve">38,97  </t>
  </si>
  <si>
    <t xml:space="preserve">2.649,96  </t>
  </si>
  <si>
    <t>12-188-17-07</t>
  </si>
  <si>
    <t>DRESSING FORCEPS, CUSHING, STR., 17.5 CM</t>
  </si>
  <si>
    <t xml:space="preserve">11,34  </t>
  </si>
  <si>
    <t xml:space="preserve">771,12  </t>
  </si>
  <si>
    <t>11-497-17-07</t>
  </si>
  <si>
    <t>SCISSORS, DEAN, SERR., ANG. UP., 17.5 CM</t>
  </si>
  <si>
    <t xml:space="preserve">43,86  </t>
  </si>
  <si>
    <t xml:space="preserve">2.982,48  </t>
  </si>
  <si>
    <t>11-317-14-07</t>
  </si>
  <si>
    <t xml:space="preserve">NASAL SCISSORS, FOMON, CVD., 14 CM      </t>
  </si>
  <si>
    <t xml:space="preserve">41,19  </t>
  </si>
  <si>
    <t xml:space="preserve">1.400,46  </t>
  </si>
  <si>
    <t>37-694-17-07</t>
  </si>
  <si>
    <t xml:space="preserve">ALAR RETRACTOR, FOMON, BLUNT, 17 CM     </t>
  </si>
  <si>
    <t xml:space="preserve">879,92  </t>
  </si>
  <si>
    <t xml:space="preserve">15,47  </t>
  </si>
  <si>
    <t xml:space="preserve">2.629,90  </t>
  </si>
  <si>
    <t xml:space="preserve">19,00  </t>
  </si>
  <si>
    <t xml:space="preserve">1.292,00  </t>
  </si>
  <si>
    <t>37-568-21-07</t>
  </si>
  <si>
    <t xml:space="preserve">SEPTUM ELEVATOR, PENNINGTON, 21.5 CM    </t>
  </si>
  <si>
    <t xml:space="preserve">33,97  </t>
  </si>
  <si>
    <t xml:space="preserve">2.309,96  </t>
  </si>
  <si>
    <t>39-003-18-07</t>
  </si>
  <si>
    <t xml:space="preserve">CLEFT PALATE RETRACTOR, LONG, 18 CM     </t>
  </si>
  <si>
    <t xml:space="preserve">37,07  </t>
  </si>
  <si>
    <t xml:space="preserve">2.520,76  </t>
  </si>
  <si>
    <t>39-001-18-07</t>
  </si>
  <si>
    <t xml:space="preserve">CLEFT PALATE RETRACTOR, SHORT, 18 CM    </t>
  </si>
  <si>
    <t>39-011-18-07</t>
  </si>
  <si>
    <t xml:space="preserve">DISSECTOR, SALYER, ANG., SHORT, 18 CM   </t>
  </si>
  <si>
    <t>39-013-18-07</t>
  </si>
  <si>
    <t xml:space="preserve">DISSECTOR, SALYER, ANG., LONG, 18 CM    </t>
  </si>
  <si>
    <t>39-021-18-07</t>
  </si>
  <si>
    <t xml:space="preserve">ELEVATOR, SALYER, SLIGHT CVD., 18 CM    </t>
  </si>
  <si>
    <t xml:space="preserve">9,15  </t>
  </si>
  <si>
    <t xml:space="preserve">622,20  </t>
  </si>
  <si>
    <t>20-638-15-07</t>
  </si>
  <si>
    <t xml:space="preserve">TC-NEEDLEHOLDER, CRILE-WOOD, 15 CM      </t>
  </si>
  <si>
    <t xml:space="preserve">34,47  </t>
  </si>
  <si>
    <t xml:space="preserve">2.343,96  </t>
  </si>
  <si>
    <t>20-636-13-07</t>
  </si>
  <si>
    <t xml:space="preserve">TC-NEEDLEHOLDER, HALSEY, SMOOTH, 13 CM  </t>
  </si>
  <si>
    <t xml:space="preserve">44,49  </t>
  </si>
  <si>
    <t xml:space="preserve">3.025,32  </t>
  </si>
  <si>
    <t>12-279-18-07</t>
  </si>
  <si>
    <t xml:space="preserve">TC-FORCEPS, JABOMA, ANG., 1X2 T., 18 CM </t>
  </si>
  <si>
    <t xml:space="preserve">94,80  </t>
  </si>
  <si>
    <t xml:space="preserve">6.446,40  </t>
  </si>
  <si>
    <t>12-240-16-07</t>
  </si>
  <si>
    <t xml:space="preserve">TC-FORCEPS, SEMKEN, 1X2 T., 15.5 CM     </t>
  </si>
  <si>
    <t xml:space="preserve">57,09  </t>
  </si>
  <si>
    <t xml:space="preserve">3.882,12  </t>
  </si>
  <si>
    <t>12-240-18-07</t>
  </si>
  <si>
    <t xml:space="preserve">TC-FORCEPS, SEMKEN, 1X2 T., 17.5 CM     </t>
  </si>
  <si>
    <t xml:space="preserve">60,17  </t>
  </si>
  <si>
    <t xml:space="preserve">4.091,56  </t>
  </si>
  <si>
    <t>23-449-00-07</t>
  </si>
  <si>
    <t xml:space="preserve">PERIOST.ELEV. WOODSON, 17,5 CM          </t>
  </si>
  <si>
    <t xml:space="preserve">17,39  </t>
  </si>
  <si>
    <t xml:space="preserve">1.182,52  </t>
  </si>
  <si>
    <t>39-100-17-07</t>
  </si>
  <si>
    <t xml:space="preserve">CLEFT PALATE RASPATORY, JABOMA, 17 CM   </t>
  </si>
  <si>
    <t xml:space="preserve">54,64  </t>
  </si>
  <si>
    <t xml:space="preserve">1.857,76  </t>
  </si>
  <si>
    <t>38-224-00-07</t>
  </si>
  <si>
    <t xml:space="preserve">MOUTH GAG, DINGMANN, COMPLETE           </t>
  </si>
  <si>
    <t xml:space="preserve">579,64  </t>
  </si>
  <si>
    <t xml:space="preserve">19.707,76  </t>
  </si>
  <si>
    <t>39-027-18-07</t>
  </si>
  <si>
    <t xml:space="preserve">ELEVATOR, SALYER, ANGLED, GRADU., 18 CM </t>
  </si>
  <si>
    <t xml:space="preserve">1.324,98  </t>
  </si>
  <si>
    <t xml:space="preserve">1.260,38  </t>
  </si>
  <si>
    <t xml:space="preserve">39,62  </t>
  </si>
  <si>
    <t xml:space="preserve">1.347,08  </t>
  </si>
  <si>
    <t>38-243-11-01</t>
  </si>
  <si>
    <t>CHEEK RETRACTOR, MARTIN-SIMPLEX, 10.5 CM</t>
  </si>
  <si>
    <t xml:space="preserve">12,56  </t>
  </si>
  <si>
    <t xml:space="preserve">427,04  </t>
  </si>
  <si>
    <t>23-199-12-04</t>
  </si>
  <si>
    <t xml:space="preserve">Tamper, Caspar, si., Ø 12 mm, 20 cm     </t>
  </si>
  <si>
    <t xml:space="preserve">61,63  </t>
  </si>
  <si>
    <t xml:space="preserve">2.095,42  </t>
  </si>
  <si>
    <t>23-190-05-07</t>
  </si>
  <si>
    <t xml:space="preserve">SPONGIOSA-GRAFT REMOVER, 16 MM, 22.5 CM </t>
  </si>
  <si>
    <t xml:space="preserve">358,76  </t>
  </si>
  <si>
    <t xml:space="preserve">12.197,84  </t>
  </si>
  <si>
    <t xml:space="preserve">2.344,98  </t>
  </si>
  <si>
    <t xml:space="preserve">16.Craniofacial Suspension Set (2)      </t>
  </si>
  <si>
    <t xml:space="preserve">14,80  </t>
  </si>
  <si>
    <t xml:space="preserve">38,81  </t>
  </si>
  <si>
    <t xml:space="preserve">77,62  </t>
  </si>
  <si>
    <t>11-879-12-07</t>
  </si>
  <si>
    <t>WIRE SCISSORS, SH/SH, CVD., SERR., 12 CM</t>
  </si>
  <si>
    <t xml:space="preserve">33,52  </t>
  </si>
  <si>
    <t>11-915-17-07</t>
  </si>
  <si>
    <t xml:space="preserve">TC-Ligature sciss., cvd., serr., 17 cm  </t>
  </si>
  <si>
    <t xml:space="preserve">74,58  </t>
  </si>
  <si>
    <t xml:space="preserve">149,16  </t>
  </si>
  <si>
    <t>12-120-16-07</t>
  </si>
  <si>
    <t xml:space="preserve">DRESSING FORCEPS, MEDIUM WIDE, 16 CM    </t>
  </si>
  <si>
    <t xml:space="preserve">5,23  </t>
  </si>
  <si>
    <t xml:space="preserve">10,46  </t>
  </si>
  <si>
    <t>12-370-15-07</t>
  </si>
  <si>
    <t xml:space="preserve">Diss. forceps, Gillies, 1x2 T., 15,5 cm </t>
  </si>
  <si>
    <t xml:space="preserve">10,73  </t>
  </si>
  <si>
    <t xml:space="preserve">42,92  </t>
  </si>
  <si>
    <t xml:space="preserve">11,21  </t>
  </si>
  <si>
    <t xml:space="preserve">22,42  </t>
  </si>
  <si>
    <t>13-923-10-07</t>
  </si>
  <si>
    <t xml:space="preserve">TOWEL FORCEPS, TOHOKU, BLUNT, 10.5 CM   </t>
  </si>
  <si>
    <t xml:space="preserve">12,00  </t>
  </si>
  <si>
    <t xml:space="preserve">96,00  </t>
  </si>
  <si>
    <t>14-101-27-07</t>
  </si>
  <si>
    <t xml:space="preserve">TAMPON FORCEPS, ULRICH, CVD., 26.5 CM   </t>
  </si>
  <si>
    <t xml:space="preserve">28,63  </t>
  </si>
  <si>
    <t xml:space="preserve">57,26  </t>
  </si>
  <si>
    <t>15-099-16-07</t>
  </si>
  <si>
    <t xml:space="preserve">RETRACTOR, BLUNT, 2-PR., 14X8 MM, 16 CM </t>
  </si>
  <si>
    <t xml:space="preserve">28,01  </t>
  </si>
  <si>
    <t xml:space="preserve">112,04  </t>
  </si>
  <si>
    <t>15-100-01-07</t>
  </si>
  <si>
    <t>RETRACTOR, DELIC., SHARP, 1-PR., 16.5 CM</t>
  </si>
  <si>
    <t xml:space="preserve">10,88  </t>
  </si>
  <si>
    <t xml:space="preserve">21,76  </t>
  </si>
  <si>
    <t>15-100-04-07</t>
  </si>
  <si>
    <t>RETRACTOR, DELIC., SHARP, 4-PR., 16.5 CM</t>
  </si>
  <si>
    <t xml:space="preserve">18,76  </t>
  </si>
  <si>
    <t xml:space="preserve">75,04  </t>
  </si>
  <si>
    <t xml:space="preserve">23,57  </t>
  </si>
  <si>
    <t xml:space="preserve">47,14  </t>
  </si>
  <si>
    <t xml:space="preserve">29,48  </t>
  </si>
  <si>
    <t xml:space="preserve">117,92  </t>
  </si>
  <si>
    <t>15-317-07-07</t>
  </si>
  <si>
    <t>RETRACT., KOCHER-LANG., 70X14 MM, 21.5CM</t>
  </si>
  <si>
    <t xml:space="preserve">40,10  </t>
  </si>
  <si>
    <t xml:space="preserve">80,20  </t>
  </si>
  <si>
    <t>15-361-02-07</t>
  </si>
  <si>
    <t xml:space="preserve">RETRACTOR, MIDDELDORPF, 22X22 MM, 23 CM </t>
  </si>
  <si>
    <t xml:space="preserve">33,95  </t>
  </si>
  <si>
    <t xml:space="preserve">67,90  </t>
  </si>
  <si>
    <t xml:space="preserve">14,32  </t>
  </si>
  <si>
    <t xml:space="preserve">57,28  </t>
  </si>
  <si>
    <t>18-523-10-01</t>
  </si>
  <si>
    <t>Suction tube, Frazier, ø 3.3 mm, 19.5 cm</t>
  </si>
  <si>
    <t xml:space="preserve">12,37  </t>
  </si>
  <si>
    <t>20-604-15-07</t>
  </si>
  <si>
    <t xml:space="preserve">79,57  </t>
  </si>
  <si>
    <t xml:space="preserve">159,14  </t>
  </si>
  <si>
    <t>23-436-16-07</t>
  </si>
  <si>
    <t xml:space="preserve">RASPATORY, WILLIGER, CVD., 5 MM, 16 CM  </t>
  </si>
  <si>
    <t xml:space="preserve">20,47  </t>
  </si>
  <si>
    <t xml:space="preserve">40,94  </t>
  </si>
  <si>
    <t xml:space="preserve">21,47  </t>
  </si>
  <si>
    <t xml:space="preserve">42,94  </t>
  </si>
  <si>
    <t>39-311-19-07</t>
  </si>
  <si>
    <t>GAUZE PACKER, LUNIATSCHEK, 3 MM, 17.5 CM</t>
  </si>
  <si>
    <t>55-440-13-04</t>
  </si>
  <si>
    <t xml:space="preserve">CONTAINER MS, 30X30X14 CM, HANDLE GREY  </t>
  </si>
  <si>
    <t xml:space="preserve">303,90  </t>
  </si>
  <si>
    <t xml:space="preserve">607,80  </t>
  </si>
  <si>
    <t>55-804-26-01</t>
  </si>
  <si>
    <t xml:space="preserve">marTray, 1/2, 240x251x64 mm             </t>
  </si>
  <si>
    <t xml:space="preserve">48,76  </t>
  </si>
  <si>
    <t xml:space="preserve">97,52  </t>
  </si>
  <si>
    <t xml:space="preserve">16,40  </t>
  </si>
  <si>
    <t>13-320-12-07</t>
  </si>
  <si>
    <t xml:space="preserve">FORCEPS MICRO-MOSQUITO, STR., 12 CM     </t>
  </si>
  <si>
    <t xml:space="preserve">14,49  </t>
  </si>
  <si>
    <t xml:space="preserve">434,70  </t>
  </si>
  <si>
    <t>13-321-12-07</t>
  </si>
  <si>
    <t xml:space="preserve">FORCEPS MICRO-MOSQUITO, CVD., 12 CM     </t>
  </si>
  <si>
    <t xml:space="preserve">15,12  </t>
  </si>
  <si>
    <t xml:space="preserve">453,60  </t>
  </si>
  <si>
    <t>23-124-10-07</t>
  </si>
  <si>
    <t xml:space="preserve">OSTEOTOME, STILLE, 10 MM, 20.5 CM       </t>
  </si>
  <si>
    <t xml:space="preserve">41,21  </t>
  </si>
  <si>
    <t xml:space="preserve">164,84  </t>
  </si>
  <si>
    <t xml:space="preserve">17.Rhinoplasty Set. (15)                </t>
  </si>
  <si>
    <t xml:space="preserve">3,63  </t>
  </si>
  <si>
    <t xml:space="preserve">54,45  </t>
  </si>
  <si>
    <t xml:space="preserve">115,21  </t>
  </si>
  <si>
    <t xml:space="preserve">3.456,30  </t>
  </si>
  <si>
    <t xml:space="preserve">1.281,60  </t>
  </si>
  <si>
    <t xml:space="preserve">14,86  </t>
  </si>
  <si>
    <t xml:space="preserve">1.337,40  </t>
  </si>
  <si>
    <t>12-250-12-07</t>
  </si>
  <si>
    <t xml:space="preserve">TC-DRESSING FORCEPS, ADSON, 12 CM       </t>
  </si>
  <si>
    <t xml:space="preserve">36,27  </t>
  </si>
  <si>
    <t xml:space="preserve">544,05  </t>
  </si>
  <si>
    <t>12-400-12-07</t>
  </si>
  <si>
    <t xml:space="preserve">FORCEPS, ADSON BROWN, 7X7 T., 12 CM     </t>
  </si>
  <si>
    <t xml:space="preserve">16,00  </t>
  </si>
  <si>
    <t xml:space="preserve">16,83  </t>
  </si>
  <si>
    <t xml:space="preserve">252,45  </t>
  </si>
  <si>
    <t xml:space="preserve">12,77  </t>
  </si>
  <si>
    <t xml:space="preserve">191,55  </t>
  </si>
  <si>
    <t>11-631-11-07</t>
  </si>
  <si>
    <t xml:space="preserve">IRIS SCISSORS, SH/SH, CVD., 11.5 CM     </t>
  </si>
  <si>
    <t xml:space="preserve">25,45  </t>
  </si>
  <si>
    <t xml:space="preserve">381,75  </t>
  </si>
  <si>
    <t>11-641-12-07</t>
  </si>
  <si>
    <t xml:space="preserve">IRIS SCISSORS, SH/SH, CVD., 12.5 CM     </t>
  </si>
  <si>
    <t xml:space="preserve">18,74  </t>
  </si>
  <si>
    <t xml:space="preserve">281,10  </t>
  </si>
  <si>
    <t xml:space="preserve">12,03  </t>
  </si>
  <si>
    <t xml:space="preserve">180,45  </t>
  </si>
  <si>
    <t xml:space="preserve">9,39  </t>
  </si>
  <si>
    <t xml:space="preserve">140,85  </t>
  </si>
  <si>
    <t>11-510-20-07</t>
  </si>
  <si>
    <t xml:space="preserve">Scissor, Nose, Heymann, angl., 20 cm    </t>
  </si>
  <si>
    <t xml:space="preserve">54,19  </t>
  </si>
  <si>
    <t xml:space="preserve">812,85  </t>
  </si>
  <si>
    <t>11-513-13-07</t>
  </si>
  <si>
    <t xml:space="preserve">TC-Scissor, Nose, Giunta, cvd., 13,5 cm </t>
  </si>
  <si>
    <t xml:space="preserve">91,54  </t>
  </si>
  <si>
    <t xml:space="preserve">1.373,10  </t>
  </si>
  <si>
    <t>11-511-18-07</t>
  </si>
  <si>
    <t xml:space="preserve">NASAL SCISSORS, HEYMANN, 18 CM          </t>
  </si>
  <si>
    <t xml:space="preserve">34,46  </t>
  </si>
  <si>
    <t xml:space="preserve">516,90  </t>
  </si>
  <si>
    <t xml:space="preserve">31,61  </t>
  </si>
  <si>
    <t xml:space="preserve">474,15  </t>
  </si>
  <si>
    <t>36-856-04-07</t>
  </si>
  <si>
    <t xml:space="preserve">Speculum, nasal, Killian, 90 mm, #4     </t>
  </si>
  <si>
    <t xml:space="preserve">72,49  </t>
  </si>
  <si>
    <t xml:space="preserve">1.087,35  </t>
  </si>
  <si>
    <t>36-856-02-07</t>
  </si>
  <si>
    <t xml:space="preserve">Speculum, nasal, Killian, 50 mm, #2     </t>
  </si>
  <si>
    <t>37-697-19-07</t>
  </si>
  <si>
    <t>NASAL RETRACT., AUFRICHT, 45X11 MM, 19CM</t>
  </si>
  <si>
    <t xml:space="preserve">37,93  </t>
  </si>
  <si>
    <t xml:space="preserve">568,95  </t>
  </si>
  <si>
    <t xml:space="preserve">35,65  </t>
  </si>
  <si>
    <t xml:space="preserve">534,75  </t>
  </si>
  <si>
    <t>37-632-20-07</t>
  </si>
  <si>
    <t xml:space="preserve">NASAL SAW, JOSEPH, ANGLED LEFT, 17 CM   </t>
  </si>
  <si>
    <t xml:space="preserve">41,59  </t>
  </si>
  <si>
    <t xml:space="preserve">1.247,70  </t>
  </si>
  <si>
    <t>37-656-01-07</t>
  </si>
  <si>
    <t xml:space="preserve">Rasp, Maltz, draw, 34x7 mm, 17 cm       </t>
  </si>
  <si>
    <t xml:space="preserve">46,54  </t>
  </si>
  <si>
    <t xml:space="preserve">1.396,20  </t>
  </si>
  <si>
    <t>37-671-21-07</t>
  </si>
  <si>
    <t xml:space="preserve">GLABELLUM RASP, AUFRICHT, PUSH, 21 CM   </t>
  </si>
  <si>
    <t xml:space="preserve">667,95  </t>
  </si>
  <si>
    <t xml:space="preserve">70,89  </t>
  </si>
  <si>
    <t xml:space="preserve">1.063,35  </t>
  </si>
  <si>
    <t>37-606-04-07</t>
  </si>
  <si>
    <t>Osteotome, Cottle, gradu., 4 mm, 18,5 cm</t>
  </si>
  <si>
    <t xml:space="preserve">19,54  </t>
  </si>
  <si>
    <t xml:space="preserve">586,20  </t>
  </si>
  <si>
    <t>23-132-04-04</t>
  </si>
  <si>
    <t xml:space="preserve">Osteotome, Mini-Lexer, si., 4 mm, 18 cm </t>
  </si>
  <si>
    <t xml:space="preserve">87,04  </t>
  </si>
  <si>
    <t xml:space="preserve">1.305,60  </t>
  </si>
  <si>
    <t>23-132-06-04</t>
  </si>
  <si>
    <t xml:space="preserve">Osteotome, Mini-Lexer, si., 6 mm, 18 cm </t>
  </si>
  <si>
    <t>37-620-03-07</t>
  </si>
  <si>
    <t xml:space="preserve">CHISEL, WALTER, 3 MM, 19 CM             </t>
  </si>
  <si>
    <t xml:space="preserve">49,31  </t>
  </si>
  <si>
    <t xml:space="preserve">739,65  </t>
  </si>
  <si>
    <t>37-620-04-07</t>
  </si>
  <si>
    <t xml:space="preserve">CHISEL, WALTER, 4.5 MM, 19 CM           </t>
  </si>
  <si>
    <t>37-608-02-07</t>
  </si>
  <si>
    <t>Osteotome, Cottle, cross-gr., 2mm,18.5cm</t>
  </si>
  <si>
    <t xml:space="preserve">35,97  </t>
  </si>
  <si>
    <t xml:space="preserve">539,55  </t>
  </si>
  <si>
    <t>37-593-16-07</t>
  </si>
  <si>
    <t>SEPTUM CHISEL, FREER, CVD.,4 MM, 16,5 CM</t>
  </si>
  <si>
    <t xml:space="preserve">16,11  </t>
  </si>
  <si>
    <t xml:space="preserve">241,65  </t>
  </si>
  <si>
    <t xml:space="preserve">20,11  </t>
  </si>
  <si>
    <t xml:space="preserve">603,30  </t>
  </si>
  <si>
    <t xml:space="preserve">29,90  </t>
  </si>
  <si>
    <t xml:space="preserve">448,50  </t>
  </si>
  <si>
    <t>37-560-18-07</t>
  </si>
  <si>
    <t xml:space="preserve">SEPTUM ELEVATOR, KILLIAN, 4 MM, 18 CM   </t>
  </si>
  <si>
    <t xml:space="preserve">24,77  </t>
  </si>
  <si>
    <t xml:space="preserve">743,10  </t>
  </si>
  <si>
    <t>37-652-00-07</t>
  </si>
  <si>
    <t xml:space="preserve">CARTILAGE CRUSHER, COTTLE, W. CLIP      </t>
  </si>
  <si>
    <t xml:space="preserve">63,20  </t>
  </si>
  <si>
    <t xml:space="preserve">948,00  </t>
  </si>
  <si>
    <t>37-652-02-04</t>
  </si>
  <si>
    <t xml:space="preserve">Cutting block, Teflon, 5,5x8,7x1,2 cm   </t>
  </si>
  <si>
    <t xml:space="preserve">37,78  </t>
  </si>
  <si>
    <t xml:space="preserve">566,70  </t>
  </si>
  <si>
    <t xml:space="preserve">6,66  </t>
  </si>
  <si>
    <t xml:space="preserve">99,90  </t>
  </si>
  <si>
    <t xml:space="preserve">5,15  </t>
  </si>
  <si>
    <t xml:space="preserve">77,25  </t>
  </si>
  <si>
    <t>23-879-18-07</t>
  </si>
  <si>
    <t xml:space="preserve">BONE RONGEUR, BEYER, CVD., 18 CM        </t>
  </si>
  <si>
    <t xml:space="preserve">5.802,30  </t>
  </si>
  <si>
    <t>37-680-21-07</t>
  </si>
  <si>
    <t>NASAL RASP, FOMON, DOUBLE-ENDED, 20.5 CM</t>
  </si>
  <si>
    <t xml:space="preserve">48,48  </t>
  </si>
  <si>
    <t xml:space="preserve">727,20  </t>
  </si>
  <si>
    <t>37-625-01-07</t>
  </si>
  <si>
    <t xml:space="preserve">OSTEOTOME, NEIVERT-ANDERSON, 7 MM, R.   </t>
  </si>
  <si>
    <t xml:space="preserve">53,59  </t>
  </si>
  <si>
    <t xml:space="preserve">803,85  </t>
  </si>
  <si>
    <t>37-625-02-07</t>
  </si>
  <si>
    <t xml:space="preserve">OSTEOTOME, NEIVERT-ANDERSON, 7 MM, L.   </t>
  </si>
  <si>
    <t xml:space="preserve">14,19  </t>
  </si>
  <si>
    <t xml:space="preserve">212,85  </t>
  </si>
  <si>
    <t xml:space="preserve">22,55  </t>
  </si>
  <si>
    <t xml:space="preserve">338,25  </t>
  </si>
  <si>
    <t xml:space="preserve">35,54  </t>
  </si>
  <si>
    <t xml:space="preserve">533,10  </t>
  </si>
  <si>
    <t>23-419-15-07</t>
  </si>
  <si>
    <t xml:space="preserve">RASPATORY, FARABEUF, CVD., 15.5 CM      </t>
  </si>
  <si>
    <t xml:space="preserve">32,96  </t>
  </si>
  <si>
    <t xml:space="preserve">494,40  </t>
  </si>
  <si>
    <t xml:space="preserve">13,07  </t>
  </si>
  <si>
    <t xml:space="preserve">196,05  </t>
  </si>
  <si>
    <t>24-691-24-07</t>
  </si>
  <si>
    <t xml:space="preserve">Dissector, Davis, double-ended, 24.5 cm </t>
  </si>
  <si>
    <t xml:space="preserve">28,79  </t>
  </si>
  <si>
    <t xml:space="preserve">431,85  </t>
  </si>
  <si>
    <t>48-156-06-07</t>
  </si>
  <si>
    <t>SEPTUM OSTEOTOME, OBWEGESER, 6 MM, 19 CM</t>
  </si>
  <si>
    <t xml:space="preserve">111,36  </t>
  </si>
  <si>
    <t xml:space="preserve">1.670,40  </t>
  </si>
  <si>
    <t>37-627-06-07</t>
  </si>
  <si>
    <t>Osteotome, Fanous, str., ri., 4mm,19,5cm</t>
  </si>
  <si>
    <t xml:space="preserve">98,22  </t>
  </si>
  <si>
    <t xml:space="preserve">1.473,30  </t>
  </si>
  <si>
    <t>37-627-07-07</t>
  </si>
  <si>
    <t>Osteotome, Fanous, str., le., 4mm,19,5cm</t>
  </si>
  <si>
    <t>37-682-03-07</t>
  </si>
  <si>
    <t xml:space="preserve">TC-NASAL RASP, FOMON, NO. 5/6, 20.5 CM  </t>
  </si>
  <si>
    <t xml:space="preserve">92,81  </t>
  </si>
  <si>
    <t xml:space="preserve">1.392,15  </t>
  </si>
  <si>
    <t>37-682-05-07</t>
  </si>
  <si>
    <t xml:space="preserve">TC-NASAL RASP, FOMON, NO. 9/10, 20.5 CM </t>
  </si>
  <si>
    <t xml:space="preserve">63,22  </t>
  </si>
  <si>
    <t xml:space="preserve">948,30  </t>
  </si>
  <si>
    <t xml:space="preserve">18.NEU Cervical Set. (20)               </t>
  </si>
  <si>
    <t xml:space="preserve">3,71  </t>
  </si>
  <si>
    <t xml:space="preserve">74,20  </t>
  </si>
  <si>
    <t>10-137-71-07</t>
  </si>
  <si>
    <t xml:space="preserve">SCALPEL HANDLE, NO. 7K, SOLID, SHORT    </t>
  </si>
  <si>
    <t xml:space="preserve">7,83  </t>
  </si>
  <si>
    <t xml:space="preserve">156,60  </t>
  </si>
  <si>
    <t xml:space="preserve">8,57  </t>
  </si>
  <si>
    <t xml:space="preserve">171,40  </t>
  </si>
  <si>
    <t>10-149-05-07</t>
  </si>
  <si>
    <t xml:space="preserve">Scalpel handle, bay., 21 cm             </t>
  </si>
  <si>
    <t xml:space="preserve">6,48  </t>
  </si>
  <si>
    <t xml:space="preserve">129,60  </t>
  </si>
  <si>
    <t>12-170-15-07</t>
  </si>
  <si>
    <t xml:space="preserve">DRESSING FORCEPS, MCINDOE, 15 CM        </t>
  </si>
  <si>
    <t xml:space="preserve">16,51  </t>
  </si>
  <si>
    <t xml:space="preserve">330,20  </t>
  </si>
  <si>
    <t>24-600-40-07</t>
  </si>
  <si>
    <t xml:space="preserve">WIRE SAW, GIGLI, FOURFOLD, 40 CM        </t>
  </si>
  <si>
    <t xml:space="preserve">5,51  </t>
  </si>
  <si>
    <t xml:space="preserve">1.102,00  </t>
  </si>
  <si>
    <t>24-602-01-01</t>
  </si>
  <si>
    <t xml:space="preserve">HOOK HANDLE, F. WIRE SAWS               </t>
  </si>
  <si>
    <t xml:space="preserve">38,73  </t>
  </si>
  <si>
    <t xml:space="preserve">1.549,20  </t>
  </si>
  <si>
    <t>12-321-14-07</t>
  </si>
  <si>
    <t xml:space="preserve">TISSUE FORCEPS, 1X2 T., SLIM, 14.5 CM   </t>
  </si>
  <si>
    <t xml:space="preserve">214,40  </t>
  </si>
  <si>
    <t xml:space="preserve">689,40  </t>
  </si>
  <si>
    <t>24-389-20-07</t>
  </si>
  <si>
    <t xml:space="preserve">ATR. FCPS., DE BAKEY, ANG., 2 MM, 20 CM </t>
  </si>
  <si>
    <t xml:space="preserve">842,80  </t>
  </si>
  <si>
    <t>12-383-17-07</t>
  </si>
  <si>
    <t xml:space="preserve">Diss. forceps, bayon., 1x2 T., 18.5 cm  </t>
  </si>
  <si>
    <t xml:space="preserve">25,39  </t>
  </si>
  <si>
    <t xml:space="preserve">507,80  </t>
  </si>
  <si>
    <t>12-256-18-07</t>
  </si>
  <si>
    <t xml:space="preserve">TC-FORCEPS, CUSHING-TAYLOR, 18.5 CM     </t>
  </si>
  <si>
    <t xml:space="preserve">50,31  </t>
  </si>
  <si>
    <t xml:space="preserve">1.006,20  </t>
  </si>
  <si>
    <t xml:space="preserve">20,75  </t>
  </si>
  <si>
    <t xml:space="preserve">415,00  </t>
  </si>
  <si>
    <t xml:space="preserve">41,65  </t>
  </si>
  <si>
    <t xml:space="preserve">833,00  </t>
  </si>
  <si>
    <t>20-390-14-07</t>
  </si>
  <si>
    <t xml:space="preserve">NEEDLEHOLDER, MAYO-HEGAR, 14.5 CM       </t>
  </si>
  <si>
    <t xml:space="preserve">21,70  </t>
  </si>
  <si>
    <t xml:space="preserve">434,00  </t>
  </si>
  <si>
    <t xml:space="preserve">323,20  </t>
  </si>
  <si>
    <t>13-334-16-07</t>
  </si>
  <si>
    <t>HAEM. FORCEPS, KELLY-RANKIN, STR., 16 CM</t>
  </si>
  <si>
    <t xml:space="preserve">12,40  </t>
  </si>
  <si>
    <t xml:space="preserve">744,00  </t>
  </si>
  <si>
    <t xml:space="preserve">27,09  </t>
  </si>
  <si>
    <t xml:space="preserve">1.625,40  </t>
  </si>
  <si>
    <t xml:space="preserve">11,97  </t>
  </si>
  <si>
    <t xml:space="preserve">2.394,00  </t>
  </si>
  <si>
    <t xml:space="preserve">12,89  </t>
  </si>
  <si>
    <t xml:space="preserve">2.578,00  </t>
  </si>
  <si>
    <t xml:space="preserve">13,08  </t>
  </si>
  <si>
    <t xml:space="preserve">2.616,00  </t>
  </si>
  <si>
    <t>11-226-16-07</t>
  </si>
  <si>
    <t xml:space="preserve">SCISSORS, KELLY, STR., 16 CM            </t>
  </si>
  <si>
    <t xml:space="preserve">26,46  </t>
  </si>
  <si>
    <t xml:space="preserve">1.058,40  </t>
  </si>
  <si>
    <t>11-107-14-07</t>
  </si>
  <si>
    <t>OPERATING SCISSORS, SH/BL, CVD., 14.5 CM</t>
  </si>
  <si>
    <t xml:space="preserve">11,07  </t>
  </si>
  <si>
    <t xml:space="preserve">221,40  </t>
  </si>
  <si>
    <t>11-105-16-07</t>
  </si>
  <si>
    <t>OPERATING SCISSORS, BL/BL, CVD., 16.5 CM</t>
  </si>
  <si>
    <t xml:space="preserve">11,67  </t>
  </si>
  <si>
    <t xml:space="preserve">233,40  </t>
  </si>
  <si>
    <t xml:space="preserve">13,04  </t>
  </si>
  <si>
    <t xml:space="preserve">521,60  </t>
  </si>
  <si>
    <t xml:space="preserve">529,20  </t>
  </si>
  <si>
    <t xml:space="preserve">41,35  </t>
  </si>
  <si>
    <t xml:space="preserve">827,00  </t>
  </si>
  <si>
    <t>23-124-20-07</t>
  </si>
  <si>
    <t xml:space="preserve">OSTEOTOME, STILLE, 20 MM, 20.5 CM       </t>
  </si>
  <si>
    <t xml:space="preserve">39,88  </t>
  </si>
  <si>
    <t xml:space="preserve">797,60  </t>
  </si>
  <si>
    <t>24-690-02-07</t>
  </si>
  <si>
    <t xml:space="preserve">Dissector, Penfield, # 2, 19.5 cm       </t>
  </si>
  <si>
    <t xml:space="preserve">1.264,40  </t>
  </si>
  <si>
    <t>23-527-19-07</t>
  </si>
  <si>
    <t xml:space="preserve">DISSECTOR, MCDONALD, DOUBLE, 18.5 CM    </t>
  </si>
  <si>
    <t xml:space="preserve">25,03  </t>
  </si>
  <si>
    <t xml:space="preserve">500,60  </t>
  </si>
  <si>
    <t>24-824-20-07</t>
  </si>
  <si>
    <t xml:space="preserve">Hook, Adson, sharp, angled, 20 cm       </t>
  </si>
  <si>
    <t xml:space="preserve">784,40  </t>
  </si>
  <si>
    <t xml:space="preserve">20,93  </t>
  </si>
  <si>
    <t xml:space="preserve">837,20  </t>
  </si>
  <si>
    <t xml:space="preserve">19,94  </t>
  </si>
  <si>
    <t xml:space="preserve">398,80  </t>
  </si>
  <si>
    <t xml:space="preserve">12,41  </t>
  </si>
  <si>
    <t xml:space="preserve">248,20  </t>
  </si>
  <si>
    <t>36-743-50-07</t>
  </si>
  <si>
    <t xml:space="preserve">CURETTE, SHARP, LEMPERT, NO. 5, 20 CM   </t>
  </si>
  <si>
    <t xml:space="preserve">29,40  </t>
  </si>
  <si>
    <t xml:space="preserve">588,00  </t>
  </si>
  <si>
    <t>09-007-28-07</t>
  </si>
  <si>
    <t>Bone curette, Bruns, cvd., Fig.0000,23cm</t>
  </si>
  <si>
    <t xml:space="preserve">38,91  </t>
  </si>
  <si>
    <t xml:space="preserve">778,20  </t>
  </si>
  <si>
    <t>23-334-30-07</t>
  </si>
  <si>
    <t xml:space="preserve">BONE CUR., BRUNS, OVAL, NO. 000, 23 CM  </t>
  </si>
  <si>
    <t xml:space="preserve">38,07  </t>
  </si>
  <si>
    <t xml:space="preserve">761,40  </t>
  </si>
  <si>
    <t>09-007-20-07</t>
  </si>
  <si>
    <t>Bone curette, Bruns, cvd., Fig.00, 23 cm</t>
  </si>
  <si>
    <t xml:space="preserve">30,78  </t>
  </si>
  <si>
    <t xml:space="preserve">615,60  </t>
  </si>
  <si>
    <t>23-334-10-07</t>
  </si>
  <si>
    <t xml:space="preserve">BONE CURETTE, BRUNS, OVAL, NO. 0, 23 CM </t>
  </si>
  <si>
    <t>09-007-21-07</t>
  </si>
  <si>
    <t xml:space="preserve">Bone curette, Bruns, cvd., Fig.0, 23 cm </t>
  </si>
  <si>
    <t>23-335-01-07</t>
  </si>
  <si>
    <t xml:space="preserve">BONE CURETTE, BRUNS, OVAL, NO. 1, 23 CM </t>
  </si>
  <si>
    <t>09-007-22-07</t>
  </si>
  <si>
    <t xml:space="preserve">Bone curette, Bruns, cvd., Fig.1, 23 cm </t>
  </si>
  <si>
    <t>23-335-03-07</t>
  </si>
  <si>
    <t xml:space="preserve">BONE CURETTE, BRUNS, OVAL, NO. 3, 23 CM </t>
  </si>
  <si>
    <t>09-007-24-07</t>
  </si>
  <si>
    <t xml:space="preserve">Bone curette, Bruns, cvd., Fig.3, 23 cm </t>
  </si>
  <si>
    <t>23-909-24-07</t>
  </si>
  <si>
    <t xml:space="preserve">BONE RONGEUR, FRYKHOLM, CVD., 23 CM     </t>
  </si>
  <si>
    <t xml:space="preserve">245,98  </t>
  </si>
  <si>
    <t xml:space="preserve">4.919,60  </t>
  </si>
  <si>
    <t>24-981-10-07</t>
  </si>
  <si>
    <t xml:space="preserve">Rongeur, Caspar, str., 3 mm, 18 cm      </t>
  </si>
  <si>
    <t xml:space="preserve">197,02  </t>
  </si>
  <si>
    <t xml:space="preserve">3.940,40  </t>
  </si>
  <si>
    <t>24-981-09-07</t>
  </si>
  <si>
    <t xml:space="preserve">Rongeur, Caspar, str., 2 mm, 18 cm      </t>
  </si>
  <si>
    <t>24-981-29-07</t>
  </si>
  <si>
    <t xml:space="preserve">Rongeur, Caspar, upw., 2 mm, 18 cm      </t>
  </si>
  <si>
    <t>24-981-49-07</t>
  </si>
  <si>
    <t xml:space="preserve">Rongeur, Caspar, downw., 2 mm, 18 cm    </t>
  </si>
  <si>
    <t>24-979-19-07</t>
  </si>
  <si>
    <t xml:space="preserve">Punch, 40°, 3mm, slim, 20cm             </t>
  </si>
  <si>
    <t xml:space="preserve">209,94  </t>
  </si>
  <si>
    <t xml:space="preserve">4.198,80  </t>
  </si>
  <si>
    <t>24-979-11-07</t>
  </si>
  <si>
    <t xml:space="preserve">Punch, 40°, 2mm, slim, 20cm             </t>
  </si>
  <si>
    <t>24-979-01-07</t>
  </si>
  <si>
    <t xml:space="preserve">Punch, 40°, 1mm, slim, 18cm             </t>
  </si>
  <si>
    <t xml:space="preserve">216,71  </t>
  </si>
  <si>
    <t xml:space="preserve">4.334,20  </t>
  </si>
  <si>
    <t>24-979-09-07</t>
  </si>
  <si>
    <t xml:space="preserve">Punch, 40°, 2mm, slim, 18cm             </t>
  </si>
  <si>
    <t>24-979-17-07</t>
  </si>
  <si>
    <t xml:space="preserve">Punch, 40°, 3mm, slim, 18cm             </t>
  </si>
  <si>
    <t>15-750-13-07</t>
  </si>
  <si>
    <t xml:space="preserve">WOUNDSPREADER, SHARP, 3X4 T., 13.5 CM   </t>
  </si>
  <si>
    <t xml:space="preserve">65,32  </t>
  </si>
  <si>
    <t xml:space="preserve">1.306,40  </t>
  </si>
  <si>
    <t xml:space="preserve">60,73  </t>
  </si>
  <si>
    <t xml:space="preserve">1.214,60  </t>
  </si>
  <si>
    <t xml:space="preserve">106,24  </t>
  </si>
  <si>
    <t xml:space="preserve">2.124,80  </t>
  </si>
  <si>
    <t>24-973-16-07</t>
  </si>
  <si>
    <t xml:space="preserve">VERTEBRAL SPREADER, CLOWARD, 16 CM      </t>
  </si>
  <si>
    <t xml:space="preserve">133,53  </t>
  </si>
  <si>
    <t xml:space="preserve">5.341,20  </t>
  </si>
  <si>
    <t>15-774-25-07</t>
  </si>
  <si>
    <t xml:space="preserve">SPREADER, CLOWARD, ONLY, F. 15-774-00   </t>
  </si>
  <si>
    <t xml:space="preserve">182,42  </t>
  </si>
  <si>
    <t xml:space="preserve">7.296,80  </t>
  </si>
  <si>
    <t>15-775-40-07</t>
  </si>
  <si>
    <t>BLADE F. SPREAD., CLOWARD, SMOOTH, 40 MM</t>
  </si>
  <si>
    <t xml:space="preserve">PR </t>
  </si>
  <si>
    <t xml:space="preserve">42,67  </t>
  </si>
  <si>
    <t xml:space="preserve">1.706,80  </t>
  </si>
  <si>
    <t>15-774-40-07</t>
  </si>
  <si>
    <t xml:space="preserve">BLADE F. CLOWARD, FENESTRATED, 40 MM    </t>
  </si>
  <si>
    <t xml:space="preserve">46,33  </t>
  </si>
  <si>
    <t xml:space="preserve">1.853,20  </t>
  </si>
  <si>
    <t>15-774-55-07</t>
  </si>
  <si>
    <t xml:space="preserve">BLADE F. CLOWARD, FENESTRATED, 55 MM    </t>
  </si>
  <si>
    <t>15-775-55-07</t>
  </si>
  <si>
    <t>BLADE F. SPREAD., CLOWARD, SMOOTH, 55 MM</t>
  </si>
  <si>
    <t>15-775-60-07</t>
  </si>
  <si>
    <t>BLADE F. SPREAD., CLOWARD, SMOOTH, 60 MM</t>
  </si>
  <si>
    <t>15-774-60-07</t>
  </si>
  <si>
    <t xml:space="preserve">BLADE F. CLOWARD, FENESTRATED, 60 MM    </t>
  </si>
  <si>
    <t>15-811-10-07</t>
  </si>
  <si>
    <t xml:space="preserve">Distractor, Caspar, right, 11 cm        </t>
  </si>
  <si>
    <t xml:space="preserve">211,79  </t>
  </si>
  <si>
    <t xml:space="preserve">4.235,80  </t>
  </si>
  <si>
    <t>15-811-31-07</t>
  </si>
  <si>
    <t>Drill guide f. Distractor, Caspar, right</t>
  </si>
  <si>
    <t xml:space="preserve">129,51  </t>
  </si>
  <si>
    <t xml:space="preserve">2.590,20  </t>
  </si>
  <si>
    <t>15-811-61-07</t>
  </si>
  <si>
    <t xml:space="preserve">Drill, Caspar, Ø 8 mm, 8 mm             </t>
  </si>
  <si>
    <t xml:space="preserve">33,00  </t>
  </si>
  <si>
    <t xml:space="preserve">660,00  </t>
  </si>
  <si>
    <t>15-811-52-07</t>
  </si>
  <si>
    <t xml:space="preserve">Screw f. Distraction, Caspar, 16 mm     </t>
  </si>
  <si>
    <t xml:space="preserve">12,73  </t>
  </si>
  <si>
    <t xml:space="preserve">509,20  </t>
  </si>
  <si>
    <t>15-811-40-07</t>
  </si>
  <si>
    <t xml:space="preserve">Screwdriver f. Distractor, Caspar       </t>
  </si>
  <si>
    <t xml:space="preserve">90,56  </t>
  </si>
  <si>
    <t xml:space="preserve">1.811,20  </t>
  </si>
  <si>
    <t>80-991-23-04</t>
  </si>
  <si>
    <t>NST-RED-FCPS., BAY., STR., 0,6 MM, 23 CM</t>
  </si>
  <si>
    <t xml:space="preserve">245,22  </t>
  </si>
  <si>
    <t xml:space="preserve">4.904,40  </t>
  </si>
  <si>
    <t>80-992-23-04</t>
  </si>
  <si>
    <t>NST-RED-FCPS., BAY., STR., 1,0 MM, 23 CM</t>
  </si>
  <si>
    <t xml:space="preserve">241,85  </t>
  </si>
  <si>
    <t xml:space="preserve">4.837,00  </t>
  </si>
  <si>
    <t>80-993-23-04</t>
  </si>
  <si>
    <t>NST-RED-FCPS., BAY., STR., 2,0 MM, 23 CM</t>
  </si>
  <si>
    <t xml:space="preserve">76,98  </t>
  </si>
  <si>
    <t xml:space="preserve">1.539,60  </t>
  </si>
  <si>
    <t xml:space="preserve">59,22  </t>
  </si>
  <si>
    <t xml:space="preserve">1.184,40  </t>
  </si>
  <si>
    <t>55-807-54-04</t>
  </si>
  <si>
    <t xml:space="preserve">SILICONE MAT F. 1/1 TRAY, 524X244 MM    </t>
  </si>
  <si>
    <t xml:space="preserve">32,58  </t>
  </si>
  <si>
    <t xml:space="preserve">651,60  </t>
  </si>
  <si>
    <t xml:space="preserve">19.Set for Septum &amp; Nasal Surgery (20)  </t>
  </si>
  <si>
    <t xml:space="preserve">80,46  </t>
  </si>
  <si>
    <t xml:space="preserve">1.609,20  </t>
  </si>
  <si>
    <t>36-856-03-07</t>
  </si>
  <si>
    <t xml:space="preserve">Speculum, nasal, Killian, 75 mm, #3     </t>
  </si>
  <si>
    <t xml:space="preserve">4,03  </t>
  </si>
  <si>
    <t xml:space="preserve">80,60  </t>
  </si>
  <si>
    <t>11-511-10-07</t>
  </si>
  <si>
    <t>Scissor, Nose, Cottle-M., bl., cvd.,10cm</t>
  </si>
  <si>
    <t xml:space="preserve">17,35  </t>
  </si>
  <si>
    <t xml:space="preserve">694,00  </t>
  </si>
  <si>
    <t>11-351-14-07</t>
  </si>
  <si>
    <t xml:space="preserve">SCISSORS, JOSEPH, SH/SH, CVD., 14.5 CM  </t>
  </si>
  <si>
    <t xml:space="preserve">29,71  </t>
  </si>
  <si>
    <t xml:space="preserve">1.188,40  </t>
  </si>
  <si>
    <t>11-509-13-07</t>
  </si>
  <si>
    <t xml:space="preserve">Scissor, Nose, Fomon, cvd., 12,5 cm     </t>
  </si>
  <si>
    <t xml:space="preserve">24,23  </t>
  </si>
  <si>
    <t xml:space="preserve">969,20  </t>
  </si>
  <si>
    <t>37-227-01-07</t>
  </si>
  <si>
    <t xml:space="preserve">SEPTUM FCPS., BRUENINGS, NO. 1, 16.5 CM </t>
  </si>
  <si>
    <t xml:space="preserve">124,49  </t>
  </si>
  <si>
    <t xml:space="preserve">2.489,80  </t>
  </si>
  <si>
    <t xml:space="preserve">38,24  </t>
  </si>
  <si>
    <t xml:space="preserve">764,80  </t>
  </si>
  <si>
    <t xml:space="preserve">21,69  </t>
  </si>
  <si>
    <t xml:space="preserve">433,80  </t>
  </si>
  <si>
    <t>37-606-07-07</t>
  </si>
  <si>
    <t>Osteotome, Cottle, gradu., 7 mm, 18.5 cm</t>
  </si>
  <si>
    <t>37-605-16-07</t>
  </si>
  <si>
    <t xml:space="preserve">GOUGE, KILLIAN-CLAUS, 5 MM, 16 CM       </t>
  </si>
  <si>
    <t xml:space="preserve">30,92  </t>
  </si>
  <si>
    <t xml:space="preserve">618,40  </t>
  </si>
  <si>
    <t xml:space="preserve">78,67  </t>
  </si>
  <si>
    <t xml:space="preserve">1.573,40  </t>
  </si>
  <si>
    <t>37-713-15-07</t>
  </si>
  <si>
    <t xml:space="preserve">ALAR RETRACTOR, COTTLE, 14 CM           </t>
  </si>
  <si>
    <t xml:space="preserve">41,60  </t>
  </si>
  <si>
    <t xml:space="preserve">832,00  </t>
  </si>
  <si>
    <t>37-732-10-07</t>
  </si>
  <si>
    <t xml:space="preserve">COLUMELL FORCEPS, COTTLE, 12 MM, 11 CM  </t>
  </si>
  <si>
    <t xml:space="preserve">62,07  </t>
  </si>
  <si>
    <t xml:space="preserve">1.241,40  </t>
  </si>
  <si>
    <t>37-840-20-01</t>
  </si>
  <si>
    <t>SUCTION RASPATORY, GUILEN, BAYON., 19 CM</t>
  </si>
  <si>
    <t xml:space="preserve">3.218,40  </t>
  </si>
  <si>
    <t>37-583-21-07</t>
  </si>
  <si>
    <t xml:space="preserve">ELEVATOR, MASING, 2 MM, 19.5 CM         </t>
  </si>
  <si>
    <t xml:space="preserve">38,29  </t>
  </si>
  <si>
    <t xml:space="preserve">765,80  </t>
  </si>
  <si>
    <t>37-579-22-07</t>
  </si>
  <si>
    <t xml:space="preserve">ELEVATOR, BAYONET-SHAPED, 4 MM, 21.5 CM </t>
  </si>
  <si>
    <t xml:space="preserve">44,65  </t>
  </si>
  <si>
    <t xml:space="preserve">893,00  </t>
  </si>
  <si>
    <t>37-547-20-07</t>
  </si>
  <si>
    <t xml:space="preserve">SEPTUM ELEVATOR, FREER, DOUBLE, 21 CM   </t>
  </si>
  <si>
    <t xml:space="preserve">26,43  </t>
  </si>
  <si>
    <t xml:space="preserve">528,60  </t>
  </si>
  <si>
    <t xml:space="preserve">13,48  </t>
  </si>
  <si>
    <t xml:space="preserve">269,60  </t>
  </si>
  <si>
    <t xml:space="preserve">13,19  </t>
  </si>
  <si>
    <t xml:space="preserve">263,80  </t>
  </si>
  <si>
    <t xml:space="preserve">17,76  </t>
  </si>
  <si>
    <t xml:space="preserve">710,40  </t>
  </si>
  <si>
    <t xml:space="preserve">14,21  </t>
  </si>
  <si>
    <t xml:space="preserve">1.705,20  </t>
  </si>
  <si>
    <t>37-255-01-07</t>
  </si>
  <si>
    <t xml:space="preserve">NASAL CUTT. FCPS., WEIL-BLAKES., 3.0 MM </t>
  </si>
  <si>
    <t xml:space="preserve">137,95  </t>
  </si>
  <si>
    <t xml:space="preserve">2.759,00  </t>
  </si>
  <si>
    <t>37-255-03-07</t>
  </si>
  <si>
    <t xml:space="preserve">NASAL CUTT. FCPS., WEIL-BLAKES., 4.5 MM </t>
  </si>
  <si>
    <t xml:space="preserve">133,94  </t>
  </si>
  <si>
    <t xml:space="preserve">2.678,80  </t>
  </si>
  <si>
    <t>37-129-20-07</t>
  </si>
  <si>
    <t>NASAL TAMPON FCPS., LUBET-BARBON, 17.5CM</t>
  </si>
  <si>
    <t xml:space="preserve">58,77  </t>
  </si>
  <si>
    <t xml:space="preserve">1.175,40  </t>
  </si>
  <si>
    <t>12-466-23-07</t>
  </si>
  <si>
    <t xml:space="preserve">Forceps, Nelson, 8x7 t., 23 cm          </t>
  </si>
  <si>
    <t xml:space="preserve">40,57  </t>
  </si>
  <si>
    <t xml:space="preserve">811,40  </t>
  </si>
  <si>
    <t xml:space="preserve">12,02  </t>
  </si>
  <si>
    <t xml:space="preserve">240,40  </t>
  </si>
  <si>
    <t>18-523-06-01</t>
  </si>
  <si>
    <t>Suction tube, Frazier, ø 2.0 mm, 19.5 cm</t>
  </si>
  <si>
    <t xml:space="preserve">13,49  </t>
  </si>
  <si>
    <t xml:space="preserve">269,80  </t>
  </si>
  <si>
    <t>80-987-20-04</t>
  </si>
  <si>
    <t xml:space="preserve">NST-RED-FCPS., ANG., BL. 1,0 MM, 20 CM  </t>
  </si>
  <si>
    <t xml:space="preserve">219,64  </t>
  </si>
  <si>
    <t xml:space="preserve">4.392,80  </t>
  </si>
  <si>
    <t>23-313-02-07</t>
  </si>
  <si>
    <t>BONE CURETTE, SPRATT, OVAL, NO. 2, 17 CM</t>
  </si>
  <si>
    <t xml:space="preserve">32,83  </t>
  </si>
  <si>
    <t xml:space="preserve">656,60  </t>
  </si>
  <si>
    <t>23-828-18-07</t>
  </si>
  <si>
    <t xml:space="preserve">Bone Rongeur, Jansen, S-Shape, 18.5 cm  </t>
  </si>
  <si>
    <t xml:space="preserve">118,08  </t>
  </si>
  <si>
    <t xml:space="preserve">2.361,60  </t>
  </si>
  <si>
    <t>37-595-15-07</t>
  </si>
  <si>
    <t xml:space="preserve">SEPTUM-GOUGE, FREER, 6 MM, 16 CM        </t>
  </si>
  <si>
    <t xml:space="preserve">33,37  </t>
  </si>
  <si>
    <t xml:space="preserve">667,40  </t>
  </si>
  <si>
    <t>37-742-21-07</t>
  </si>
  <si>
    <t xml:space="preserve">CURETTE, DOUBLE, FAULKNER, 21 CM        </t>
  </si>
  <si>
    <t xml:space="preserve">13,95  </t>
  </si>
  <si>
    <t xml:space="preserve">279,00  </t>
  </si>
  <si>
    <t xml:space="preserve">108,52  </t>
  </si>
  <si>
    <t xml:space="preserve">2.170,40  </t>
  </si>
  <si>
    <t xml:space="preserve">11,86  </t>
  </si>
  <si>
    <t xml:space="preserve">237,20  </t>
  </si>
  <si>
    <t>15-100-02-07</t>
  </si>
  <si>
    <t>RETRACTOR, DELIC., SHARP, 2-PR., 16.5 CM</t>
  </si>
  <si>
    <t xml:space="preserve">14,83  </t>
  </si>
  <si>
    <t xml:space="preserve">296,60  </t>
  </si>
  <si>
    <t>15-293-02-07</t>
  </si>
  <si>
    <t>RETRACTOR, LANGENBECK, 30X13 MM, 21,5 CM</t>
  </si>
  <si>
    <t xml:space="preserve">23,24  </t>
  </si>
  <si>
    <t xml:space="preserve">464,80  </t>
  </si>
  <si>
    <t>09-010-58-07</t>
  </si>
  <si>
    <t>Punch,bone,Hajek-Kof.,turnab.,3.5mm,16cm</t>
  </si>
  <si>
    <t xml:space="preserve">588,74  </t>
  </si>
  <si>
    <t xml:space="preserve">11.774,80  </t>
  </si>
  <si>
    <t>37-342-12-07</t>
  </si>
  <si>
    <t xml:space="preserve">SPHENOIDAL PUNCH, UPW., 3.5X3.5 MM      </t>
  </si>
  <si>
    <t xml:space="preserve">241,39  </t>
  </si>
  <si>
    <t xml:space="preserve">4.827,80  </t>
  </si>
  <si>
    <t>36-461-17-07</t>
  </si>
  <si>
    <t xml:space="preserve">BONE PUNCH, CITELLI, 3 MM               </t>
  </si>
  <si>
    <t xml:space="preserve">263,81  </t>
  </si>
  <si>
    <t xml:space="preserve">5.276,20  </t>
  </si>
  <si>
    <t xml:space="preserve">13,01  </t>
  </si>
  <si>
    <t xml:space="preserve">1.561,20  </t>
  </si>
  <si>
    <t>15-220-03-07</t>
  </si>
  <si>
    <t>RETRACTOR, VOLKMANN, SH., 3-PR., 22.5 CM</t>
  </si>
  <si>
    <t xml:space="preserve">572,60  </t>
  </si>
  <si>
    <t xml:space="preserve">25,70  </t>
  </si>
  <si>
    <t xml:space="preserve">514,00  </t>
  </si>
  <si>
    <t xml:space="preserve">98,67  </t>
  </si>
  <si>
    <t xml:space="preserve">1.973,40  </t>
  </si>
  <si>
    <t>37-724-03-07</t>
  </si>
  <si>
    <t xml:space="preserve">SEPTUM STRAIGHTENING FCPS., R., 23 CM   </t>
  </si>
  <si>
    <t xml:space="preserve">105,77  </t>
  </si>
  <si>
    <t xml:space="preserve">2.115,40  </t>
  </si>
  <si>
    <t>37-724-02-07</t>
  </si>
  <si>
    <t xml:space="preserve">SEPTUM STRAIGHTENING FCPS., L., 23 CM   </t>
  </si>
  <si>
    <t xml:space="preserve">105,71  </t>
  </si>
  <si>
    <t xml:space="preserve">2.114,20  </t>
  </si>
  <si>
    <t>56-254-01-01</t>
  </si>
  <si>
    <t xml:space="preserve">MEASURING CUP, GRADUATED, 100 CCM       </t>
  </si>
  <si>
    <t xml:space="preserve">8,47  </t>
  </si>
  <si>
    <t xml:space="preserve">169,40  </t>
  </si>
  <si>
    <t xml:space="preserve">70,16  </t>
  </si>
  <si>
    <t xml:space="preserve">1.403,20  </t>
  </si>
  <si>
    <t xml:space="preserve">454,94  </t>
  </si>
  <si>
    <t xml:space="preserve">9.098,80  </t>
  </si>
  <si>
    <t xml:space="preserve">4,47  </t>
  </si>
  <si>
    <t xml:space="preserve">89,40  </t>
  </si>
  <si>
    <t xml:space="preserve">20.Tracheostomy instruments. (15)       </t>
  </si>
  <si>
    <t xml:space="preserve">55,50  </t>
  </si>
  <si>
    <t xml:space="preserve">14,50  </t>
  </si>
  <si>
    <t xml:space="preserve">435,00  </t>
  </si>
  <si>
    <t>13-375-13-07</t>
  </si>
  <si>
    <t xml:space="preserve">FORCEPS, PEAN, DELICATE, CVD., 13 CM    </t>
  </si>
  <si>
    <t xml:space="preserve">13,55  </t>
  </si>
  <si>
    <t xml:space="preserve">406,50  </t>
  </si>
  <si>
    <t>13-374-13-07</t>
  </si>
  <si>
    <t xml:space="preserve">FORCEPS, PEAN, DELICATE, STR., 13,5 CM  </t>
  </si>
  <si>
    <t xml:space="preserve">13,33  </t>
  </si>
  <si>
    <t xml:space="preserve">399,90  </t>
  </si>
  <si>
    <t>12-369-12-07</t>
  </si>
  <si>
    <t xml:space="preserve">Forceps, tissue, Adson, 2x3 t., 12 cm   </t>
  </si>
  <si>
    <t xml:space="preserve">20,79  </t>
  </si>
  <si>
    <t xml:space="preserve">623,70  </t>
  </si>
  <si>
    <t>12-172-12-07</t>
  </si>
  <si>
    <t xml:space="preserve">DRESSING FORCEPS, SEMKEN, 12.5 CM       </t>
  </si>
  <si>
    <t xml:space="preserve">5,49  </t>
  </si>
  <si>
    <t xml:space="preserve">164,70  </t>
  </si>
  <si>
    <t xml:space="preserve">16,29  </t>
  </si>
  <si>
    <t xml:space="preserve">244,35  </t>
  </si>
  <si>
    <t>24-386-16-07</t>
  </si>
  <si>
    <t xml:space="preserve">ATR. FORCEPS, DE BAKEY, 1.5 MM, 16 CM   </t>
  </si>
  <si>
    <t xml:space="preserve">37,81  </t>
  </si>
  <si>
    <t xml:space="preserve">567,15  </t>
  </si>
  <si>
    <t>11-259-14-07</t>
  </si>
  <si>
    <t xml:space="preserve">DISSECT. SCISSORS, SH/SH, CVD., 14.5 CM </t>
  </si>
  <si>
    <t xml:space="preserve">19,89  </t>
  </si>
  <si>
    <t xml:space="preserve">298,35  </t>
  </si>
  <si>
    <t>11-104-16-07</t>
  </si>
  <si>
    <t>OPERATING SCISSORS, SH/SH, STR., 16.5 CM</t>
  </si>
  <si>
    <t xml:space="preserve">11,53  </t>
  </si>
  <si>
    <t xml:space="preserve">172,95  </t>
  </si>
  <si>
    <t xml:space="preserve">22,24  </t>
  </si>
  <si>
    <t xml:space="preserve">21,31  </t>
  </si>
  <si>
    <t xml:space="preserve">639,30  </t>
  </si>
  <si>
    <t>15-665-00-07</t>
  </si>
  <si>
    <t xml:space="preserve">RETRACTOR, DBL., FARABEUF, SET, 15.5 CM </t>
  </si>
  <si>
    <t xml:space="preserve">15,53  </t>
  </si>
  <si>
    <t xml:space="preserve">465,90  </t>
  </si>
  <si>
    <t xml:space="preserve">13,59  </t>
  </si>
  <si>
    <t xml:space="preserve">407,70  </t>
  </si>
  <si>
    <t>27-155-17-07</t>
  </si>
  <si>
    <t xml:space="preserve">TRACHEA RETRACTOR, JACKSON, DBL., 18 CM </t>
  </si>
  <si>
    <t xml:space="preserve">26,64  </t>
  </si>
  <si>
    <t xml:space="preserve">799,20  </t>
  </si>
  <si>
    <t>30-134-15-07</t>
  </si>
  <si>
    <t xml:space="preserve">TISSUE FORCEPS, ALLIS, 5X6 T., 15.5 CM  </t>
  </si>
  <si>
    <t xml:space="preserve">1.112,85  </t>
  </si>
  <si>
    <t xml:space="preserve">21,63  </t>
  </si>
  <si>
    <t xml:space="preserve">324,45  </t>
  </si>
  <si>
    <t xml:space="preserve">202,50  </t>
  </si>
  <si>
    <t>27-113-14-07</t>
  </si>
  <si>
    <t xml:space="preserve">TRACHEAL DILATOR, LABORDE, 14 CM        </t>
  </si>
  <si>
    <t xml:space="preserve">147,43  </t>
  </si>
  <si>
    <t xml:space="preserve">2.211,45  </t>
  </si>
  <si>
    <t xml:space="preserve">185,55  </t>
  </si>
  <si>
    <t>18-523-11-01</t>
  </si>
  <si>
    <t>Suction tube, Frazier, ø 3.6 mm, 19.5 cm</t>
  </si>
  <si>
    <t xml:space="preserve">731,40  </t>
  </si>
  <si>
    <t xml:space="preserve">4.558,50  </t>
  </si>
  <si>
    <t xml:space="preserve">61,50  </t>
  </si>
  <si>
    <t xml:space="preserve">21.Anal Set. (24)                       </t>
  </si>
  <si>
    <t xml:space="preserve">1.250,88  </t>
  </si>
  <si>
    <t>13-935-20-07</t>
  </si>
  <si>
    <t xml:space="preserve">TOWEL FORCEPS, LANE, STR., 20 CM        </t>
  </si>
  <si>
    <t xml:space="preserve">502,32  </t>
  </si>
  <si>
    <t xml:space="preserve">88,80  </t>
  </si>
  <si>
    <t>10-130-05-07</t>
  </si>
  <si>
    <t xml:space="preserve">SCALPEL HANDLE, NO. 3, CM-SCALE, 12 CM  </t>
  </si>
  <si>
    <t xml:space="preserve">4,00  </t>
  </si>
  <si>
    <t xml:space="preserve">2.177,28  </t>
  </si>
  <si>
    <t>13-577-19-07</t>
  </si>
  <si>
    <t>DISS. FORCEPS, KELLY, SLIGHT CVD., 19 CM</t>
  </si>
  <si>
    <t xml:space="preserve">39,58  </t>
  </si>
  <si>
    <t xml:space="preserve">5.699,52  </t>
  </si>
  <si>
    <t xml:space="preserve">867,84  </t>
  </si>
  <si>
    <t>24-384-20-07</t>
  </si>
  <si>
    <t xml:space="preserve">ATR. FORCEPS, DE BAKEY, 2.7 MM, 20 CM   </t>
  </si>
  <si>
    <t xml:space="preserve">907,44  </t>
  </si>
  <si>
    <t xml:space="preserve">360,00  </t>
  </si>
  <si>
    <t>16-108-16-01</t>
  </si>
  <si>
    <t xml:space="preserve">PROBE WITH EYE, Ø 2.0 MM, 16 CM         </t>
  </si>
  <si>
    <t xml:space="preserve">10,57  </t>
  </si>
  <si>
    <t xml:space="preserve">253,68  </t>
  </si>
  <si>
    <t>16-103-20-01</t>
  </si>
  <si>
    <t xml:space="preserve">PROBE, BUTTON END, Ø 1.5/1.5 MM, 20 CM  </t>
  </si>
  <si>
    <t xml:space="preserve">5,59  </t>
  </si>
  <si>
    <t xml:space="preserve">134,16  </t>
  </si>
  <si>
    <t>30-615-15-01</t>
  </si>
  <si>
    <t>CURVAL SPECULUM, SIMS, FENSTR., 70X15 MM</t>
  </si>
  <si>
    <t xml:space="preserve">113,35  </t>
  </si>
  <si>
    <t xml:space="preserve">2.720,40  </t>
  </si>
  <si>
    <t>30-610-21-07</t>
  </si>
  <si>
    <t xml:space="preserve">CURVAL SPECULUM, CZERNY, 105X23-28 MM   </t>
  </si>
  <si>
    <t xml:space="preserve">53,69  </t>
  </si>
  <si>
    <t xml:space="preserve">1.288,56  </t>
  </si>
  <si>
    <t>56-231-11-01</t>
  </si>
  <si>
    <t xml:space="preserve">BOWL, METAL, H = 50, Ø 116 MM, 0.25 L   </t>
  </si>
  <si>
    <t xml:space="preserve">16,57  </t>
  </si>
  <si>
    <t xml:space="preserve">397,68  </t>
  </si>
  <si>
    <t xml:space="preserve">184,80  </t>
  </si>
  <si>
    <t xml:space="preserve">29,25  </t>
  </si>
  <si>
    <t xml:space="preserve">702,00  </t>
  </si>
  <si>
    <t xml:space="preserve">311,76  </t>
  </si>
  <si>
    <t xml:space="preserve">40,88  </t>
  </si>
  <si>
    <t xml:space="preserve">1.962,24  </t>
  </si>
  <si>
    <t xml:space="preserve">3.533,76  </t>
  </si>
  <si>
    <t>13-328-15-07</t>
  </si>
  <si>
    <t xml:space="preserve">FORCEPS, LERICHE, 1X2 T., STR., 15.5 CM </t>
  </si>
  <si>
    <t xml:space="preserve">21,08  </t>
  </si>
  <si>
    <t xml:space="preserve">1.011,84  </t>
  </si>
  <si>
    <t xml:space="preserve">114,24  </t>
  </si>
  <si>
    <t xml:space="preserve">817,44  </t>
  </si>
  <si>
    <t xml:space="preserve">772,80  </t>
  </si>
  <si>
    <t>13-531-22-07</t>
  </si>
  <si>
    <t xml:space="preserve">KIDNEY PEDICLE FORCEPS, GUYON, 21.5 CM  </t>
  </si>
  <si>
    <t xml:space="preserve">125,44  </t>
  </si>
  <si>
    <t xml:space="preserve">3.010,56  </t>
  </si>
  <si>
    <t xml:space="preserve">6,02  </t>
  </si>
  <si>
    <t xml:space="preserve">144,48  </t>
  </si>
  <si>
    <t xml:space="preserve">44,15  </t>
  </si>
  <si>
    <t xml:space="preserve">1.059,60  </t>
  </si>
  <si>
    <t>55-805-28-01</t>
  </si>
  <si>
    <t xml:space="preserve">Lid f. tray 1/2, 243X255 mm             </t>
  </si>
  <si>
    <t xml:space="preserve">34,33  </t>
  </si>
  <si>
    <t xml:space="preserve">823,92  </t>
  </si>
  <si>
    <t xml:space="preserve">16,59  </t>
  </si>
  <si>
    <t xml:space="preserve">398,16  </t>
  </si>
  <si>
    <t xml:space="preserve">22.NEU BRAIN SET. (6)                   </t>
  </si>
  <si>
    <t>22-152-00-07</t>
  </si>
  <si>
    <t xml:space="preserve">HAND DRILL, HUDSON, COMPLETE            </t>
  </si>
  <si>
    <t xml:space="preserve">487,40  </t>
  </si>
  <si>
    <t xml:space="preserve">2.924,40  </t>
  </si>
  <si>
    <t>22-152-09-07</t>
  </si>
  <si>
    <t xml:space="preserve">EXTENSION F. HUDSON-DRILL               </t>
  </si>
  <si>
    <t xml:space="preserve">38,65  </t>
  </si>
  <si>
    <t xml:space="preserve">231,90  </t>
  </si>
  <si>
    <t>22-152-01-07</t>
  </si>
  <si>
    <t xml:space="preserve">BURR, CONE SHAPE, HUDSON, NO. 1         </t>
  </si>
  <si>
    <t xml:space="preserve">69,78  </t>
  </si>
  <si>
    <t xml:space="preserve">418,68  </t>
  </si>
  <si>
    <t>22-152-05-07</t>
  </si>
  <si>
    <t xml:space="preserve">BURR, FLAT TYPE, CUSHING, 14 MM WIDE    </t>
  </si>
  <si>
    <t xml:space="preserve">49,98  </t>
  </si>
  <si>
    <t xml:space="preserve">299,88  </t>
  </si>
  <si>
    <t>22-152-02-07</t>
  </si>
  <si>
    <t xml:space="preserve">BURR, CONE SHAPE, HUDSON, NO. 2         </t>
  </si>
  <si>
    <t xml:space="preserve">50,49  </t>
  </si>
  <si>
    <t xml:space="preserve">302,94  </t>
  </si>
  <si>
    <t>22-152-08-07</t>
  </si>
  <si>
    <t xml:space="preserve">DRILL, ERRICO, Ø 16 MM                  </t>
  </si>
  <si>
    <t xml:space="preserve">83,15  </t>
  </si>
  <si>
    <t xml:space="preserve">498,90  </t>
  </si>
  <si>
    <t xml:space="preserve">351,60  </t>
  </si>
  <si>
    <t>24-618-33-07</t>
  </si>
  <si>
    <t xml:space="preserve">WIRE SAW CONDUCTOR, DE MARTEL           </t>
  </si>
  <si>
    <t xml:space="preserve">26,73  </t>
  </si>
  <si>
    <t xml:space="preserve">320,76  </t>
  </si>
  <si>
    <t xml:space="preserve">3,95  </t>
  </si>
  <si>
    <t xml:space="preserve">23,70  </t>
  </si>
  <si>
    <t xml:space="preserve">8,34  </t>
  </si>
  <si>
    <t xml:space="preserve">50,04  </t>
  </si>
  <si>
    <t xml:space="preserve">9,12  </t>
  </si>
  <si>
    <t xml:space="preserve">54,72  </t>
  </si>
  <si>
    <t>12-302-14-07</t>
  </si>
  <si>
    <t xml:space="preserve">TISSUE FORCEPS, 2X3 T., 14.5 CM         </t>
  </si>
  <si>
    <t xml:space="preserve">11,12  </t>
  </si>
  <si>
    <t xml:space="preserve">66,72  </t>
  </si>
  <si>
    <t xml:space="preserve">11,47  </t>
  </si>
  <si>
    <t xml:space="preserve">68,82  </t>
  </si>
  <si>
    <t xml:space="preserve">17,59  </t>
  </si>
  <si>
    <t xml:space="preserve">105,54  </t>
  </si>
  <si>
    <t>12-120-14-07</t>
  </si>
  <si>
    <t xml:space="preserve">DRESSING FORCEPS, MEDIUM WIDE, 14.5 CM  </t>
  </si>
  <si>
    <t xml:space="preserve">5,81  </t>
  </si>
  <si>
    <t xml:space="preserve">34,86  </t>
  </si>
  <si>
    <t>12-100-14-07</t>
  </si>
  <si>
    <t xml:space="preserve">DRESSING FORCEPS, 14.5 CM               </t>
  </si>
  <si>
    <t xml:space="preserve">11,98  </t>
  </si>
  <si>
    <t xml:space="preserve">71,88  </t>
  </si>
  <si>
    <t xml:space="preserve">11,39  </t>
  </si>
  <si>
    <t xml:space="preserve">68,34  </t>
  </si>
  <si>
    <t>12-168-15-07</t>
  </si>
  <si>
    <t xml:space="preserve">DRESSING FORCEPS, ADSON, 15 CM          </t>
  </si>
  <si>
    <t xml:space="preserve">14,94  </t>
  </si>
  <si>
    <t xml:space="preserve">89,64  </t>
  </si>
  <si>
    <t>12-371-20-07</t>
  </si>
  <si>
    <t xml:space="preserve">Diss. forceps, Waugh, 1x2 T., 20 cm     </t>
  </si>
  <si>
    <t xml:space="preserve">14,70  </t>
  </si>
  <si>
    <t xml:space="preserve">88,20  </t>
  </si>
  <si>
    <t xml:space="preserve">22,10  </t>
  </si>
  <si>
    <t>37-115-20-07</t>
  </si>
  <si>
    <t>NASAL TAMPON FORCEPS, GRUENWALD, 21.5 CM</t>
  </si>
  <si>
    <t xml:space="preserve">28,39  </t>
  </si>
  <si>
    <t xml:space="preserve">170,34  </t>
  </si>
  <si>
    <t>20-632-12-07</t>
  </si>
  <si>
    <t xml:space="preserve">TC-NEEDLEHOLDER, DERF, 12 CM            </t>
  </si>
  <si>
    <t xml:space="preserve">62,66  </t>
  </si>
  <si>
    <t xml:space="preserve">751,92  </t>
  </si>
  <si>
    <t xml:space="preserve">34,38  </t>
  </si>
  <si>
    <t xml:space="preserve">618,84  </t>
  </si>
  <si>
    <t xml:space="preserve">58,08  </t>
  </si>
  <si>
    <t xml:space="preserve">696,96  </t>
  </si>
  <si>
    <t>24-851-10-07</t>
  </si>
  <si>
    <t xml:space="preserve">Micro needleh., Yasargil,bay.str., 20cm </t>
  </si>
  <si>
    <t xml:space="preserve">133,21  </t>
  </si>
  <si>
    <t xml:space="preserve">799,26  </t>
  </si>
  <si>
    <t xml:space="preserve">16,42  </t>
  </si>
  <si>
    <t xml:space="preserve">985,20  </t>
  </si>
  <si>
    <t xml:space="preserve">19,69  </t>
  </si>
  <si>
    <t xml:space="preserve">1.181,40  </t>
  </si>
  <si>
    <t xml:space="preserve">15,49  </t>
  </si>
  <si>
    <t xml:space="preserve">464,70  </t>
  </si>
  <si>
    <t xml:space="preserve">484,80  </t>
  </si>
  <si>
    <t xml:space="preserve">13,93  </t>
  </si>
  <si>
    <t xml:space="preserve">417,90  </t>
  </si>
  <si>
    <t>13-316-18-07</t>
  </si>
  <si>
    <t xml:space="preserve">HAEM. FORCEPS, MOSQUITO, STR., 18.5 CM  </t>
  </si>
  <si>
    <t xml:space="preserve">24,18  </t>
  </si>
  <si>
    <t xml:space="preserve">145,08  </t>
  </si>
  <si>
    <t>13-317-18-07</t>
  </si>
  <si>
    <t xml:space="preserve">HAEM. FORCEPS, MOSQUITO, CVD., 18 CM    </t>
  </si>
  <si>
    <t xml:space="preserve">25,46  </t>
  </si>
  <si>
    <t xml:space="preserve">152,76  </t>
  </si>
  <si>
    <t xml:space="preserve">28,85  </t>
  </si>
  <si>
    <t xml:space="preserve">173,10  </t>
  </si>
  <si>
    <t>13-357-14-07</t>
  </si>
  <si>
    <t xml:space="preserve">FORCEPS, DANDY, 1X2 T., CVD., 14 CM     </t>
  </si>
  <si>
    <t xml:space="preserve">36,08  </t>
  </si>
  <si>
    <t xml:space="preserve">216,48  </t>
  </si>
  <si>
    <t xml:space="preserve">42,47  </t>
  </si>
  <si>
    <t xml:space="preserve">254,82  </t>
  </si>
  <si>
    <t>24-684-19-07</t>
  </si>
  <si>
    <t xml:space="preserve">Dissector, Olivecrona, dbl-ended, 20 cm </t>
  </si>
  <si>
    <t xml:space="preserve">44,04  </t>
  </si>
  <si>
    <t xml:space="preserve">264,24  </t>
  </si>
  <si>
    <t xml:space="preserve">26,66  </t>
  </si>
  <si>
    <t xml:space="preserve">319,92  </t>
  </si>
  <si>
    <t>37-562-22-07</t>
  </si>
  <si>
    <t xml:space="preserve">SEPTUM ELEVATOR, KILLIAN, 23.5 CM       </t>
  </si>
  <si>
    <t xml:space="preserve">33,05  </t>
  </si>
  <si>
    <t xml:space="preserve">198,30  </t>
  </si>
  <si>
    <t>11-826-13-07</t>
  </si>
  <si>
    <t xml:space="preserve">LIGATURE SCISSORS, SPENCER, STR., 13 CM </t>
  </si>
  <si>
    <t xml:space="preserve">303,60  </t>
  </si>
  <si>
    <t xml:space="preserve">28,18  </t>
  </si>
  <si>
    <t xml:space="preserve">338,16  </t>
  </si>
  <si>
    <t xml:space="preserve">10,78  </t>
  </si>
  <si>
    <t xml:space="preserve">64,68  </t>
  </si>
  <si>
    <t>11-100-16-07</t>
  </si>
  <si>
    <t>OPERATING SCISSORS, BL/BL, STR., 16.5 CM</t>
  </si>
  <si>
    <t xml:space="preserve">11,37  </t>
  </si>
  <si>
    <t xml:space="preserve">68,22  </t>
  </si>
  <si>
    <t xml:space="preserve">13,89  </t>
  </si>
  <si>
    <t xml:space="preserve">166,68  </t>
  </si>
  <si>
    <t>11-455-17-07</t>
  </si>
  <si>
    <t xml:space="preserve">Scissor, Schmieden-Taylor, 16.5 cm      </t>
  </si>
  <si>
    <t xml:space="preserve">48,50  </t>
  </si>
  <si>
    <t xml:space="preserve">582,00  </t>
  </si>
  <si>
    <t>11-865-12-07</t>
  </si>
  <si>
    <t xml:space="preserve">WIRE SCISSORS, UNIVERSAL, ANGLED, 12 CM </t>
  </si>
  <si>
    <t xml:space="preserve">143,10  </t>
  </si>
  <si>
    <t>18-645-15-07</t>
  </si>
  <si>
    <t>Suction tube, Plester, ø 1.5 mm, 19.5 cm</t>
  </si>
  <si>
    <t xml:space="preserve">16,60  </t>
  </si>
  <si>
    <t xml:space="preserve">199,20  </t>
  </si>
  <si>
    <t xml:space="preserve">13,22  </t>
  </si>
  <si>
    <t xml:space="preserve">158,64  </t>
  </si>
  <si>
    <t xml:space="preserve">21,23  </t>
  </si>
  <si>
    <t xml:space="preserve">254,76  </t>
  </si>
  <si>
    <t>18-524-84-01</t>
  </si>
  <si>
    <t xml:space="preserve">Suct. tube, Fergusson, ø 4,0 mm, 20 cm  </t>
  </si>
  <si>
    <t>09-003-64-99</t>
  </si>
  <si>
    <t xml:space="preserve">Spatula, Olivecr., conc., 7/9 mm        </t>
  </si>
  <si>
    <t xml:space="preserve">17,71  </t>
  </si>
  <si>
    <t xml:space="preserve">106,26  </t>
  </si>
  <si>
    <t>09-003-65-99</t>
  </si>
  <si>
    <t xml:space="preserve">Spatula, Olivecr., conc., 11/13 mm      </t>
  </si>
  <si>
    <t xml:space="preserve">19,48  </t>
  </si>
  <si>
    <t xml:space="preserve">116,88  </t>
  </si>
  <si>
    <t>09-003-66-99</t>
  </si>
  <si>
    <t xml:space="preserve">Spatula, Olivecr., conc., 15/18 mm      </t>
  </si>
  <si>
    <t xml:space="preserve">20,66  </t>
  </si>
  <si>
    <t xml:space="preserve">123,96  </t>
  </si>
  <si>
    <t>09-003-67-99</t>
  </si>
  <si>
    <t xml:space="preserve">Spatula, Olivecr., conc., 18/22 mm      </t>
  </si>
  <si>
    <t xml:space="preserve">22,11  </t>
  </si>
  <si>
    <t xml:space="preserve">132,66  </t>
  </si>
  <si>
    <t>24-720-11-01</t>
  </si>
  <si>
    <t xml:space="preserve">Spatula, Heifetz, malleable, 11x155 mm  </t>
  </si>
  <si>
    <t xml:space="preserve">33,58  </t>
  </si>
  <si>
    <t xml:space="preserve">201,48  </t>
  </si>
  <si>
    <t xml:space="preserve">13,91  </t>
  </si>
  <si>
    <t xml:space="preserve">83,46  </t>
  </si>
  <si>
    <t>23-893-23-07</t>
  </si>
  <si>
    <t xml:space="preserve">BONE RONGEUR, RUSKIN, CVD., 24 CM       </t>
  </si>
  <si>
    <t xml:space="preserve">219,70  </t>
  </si>
  <si>
    <t xml:space="preserve">1.318,20  </t>
  </si>
  <si>
    <t xml:space="preserve">229,78  </t>
  </si>
  <si>
    <t xml:space="preserve">1.378,68  </t>
  </si>
  <si>
    <t xml:space="preserve">200,27  </t>
  </si>
  <si>
    <t xml:space="preserve">1.201,62  </t>
  </si>
  <si>
    <t xml:space="preserve">1.341,60  </t>
  </si>
  <si>
    <t>24-979-25-07</t>
  </si>
  <si>
    <t xml:space="preserve">Punch, 40°, 4mm, slim, 18cm             </t>
  </si>
  <si>
    <t>37-546-18-07</t>
  </si>
  <si>
    <t xml:space="preserve">SEPTUM ELEVATOR, FREER, SH/BL, 18 CM    </t>
  </si>
  <si>
    <t xml:space="preserve">16,50  </t>
  </si>
  <si>
    <t xml:space="preserve">99,00  </t>
  </si>
  <si>
    <t>23-461-10-07</t>
  </si>
  <si>
    <t xml:space="preserve">RASPATORY, LAMBOTTE, 10 MM, 21.5 CM     </t>
  </si>
  <si>
    <t xml:space="preserve">57,96  </t>
  </si>
  <si>
    <t xml:space="preserve">347,76  </t>
  </si>
  <si>
    <t xml:space="preserve">40,55  </t>
  </si>
  <si>
    <t xml:space="preserve">243,30  </t>
  </si>
  <si>
    <t>18-636-25-07</t>
  </si>
  <si>
    <t>Cannula, puncture, Frazier, ø 2,5mm,10cm</t>
  </si>
  <si>
    <t xml:space="preserve">18,22  </t>
  </si>
  <si>
    <t xml:space="preserve">218,64  </t>
  </si>
  <si>
    <t>18-638-20-07</t>
  </si>
  <si>
    <t xml:space="preserve">Cannula, Dandy, ø 2,0 mm, 9,5 cm        </t>
  </si>
  <si>
    <t xml:space="preserve">40,09  </t>
  </si>
  <si>
    <t xml:space="preserve">481,08  </t>
  </si>
  <si>
    <t>24-702-13-07</t>
  </si>
  <si>
    <t xml:space="preserve">Ball joint clamp for Leyla retractor    </t>
  </si>
  <si>
    <t xml:space="preserve">515,27  </t>
  </si>
  <si>
    <t xml:space="preserve">3.091,62  </t>
  </si>
  <si>
    <t>24-702-14-07</t>
  </si>
  <si>
    <t xml:space="preserve">Supporting arm for Leyla retractor      </t>
  </si>
  <si>
    <t xml:space="preserve">164,20  </t>
  </si>
  <si>
    <t>24-702-16-07</t>
  </si>
  <si>
    <t xml:space="preserve">Coupling head for 1 flexible arm        </t>
  </si>
  <si>
    <t xml:space="preserve">280,26  </t>
  </si>
  <si>
    <t xml:space="preserve">3.363,12  </t>
  </si>
  <si>
    <t>24-702-03-07</t>
  </si>
  <si>
    <t xml:space="preserve">Arm, flexible                           </t>
  </si>
  <si>
    <t xml:space="preserve">328,26  </t>
  </si>
  <si>
    <t xml:space="preserve">7.878,24  </t>
  </si>
  <si>
    <t>24-702-08-07</t>
  </si>
  <si>
    <t xml:space="preserve">Spatula holder for flat spatula         </t>
  </si>
  <si>
    <t xml:space="preserve">100,07  </t>
  </si>
  <si>
    <t xml:space="preserve">600,42  </t>
  </si>
  <si>
    <t>24-702-07-07</t>
  </si>
  <si>
    <t xml:space="preserve">Spatula holder, rd shaft for flex. arm  </t>
  </si>
  <si>
    <t xml:space="preserve">113,70  </t>
  </si>
  <si>
    <t xml:space="preserve">682,20  </t>
  </si>
  <si>
    <t>15-975-06-01</t>
  </si>
  <si>
    <t>SPATULA, MARTIN, MALLEAB., 6.5 MM, 20 CM</t>
  </si>
  <si>
    <t xml:space="preserve">166,92  </t>
  </si>
  <si>
    <t>24-720-08-01</t>
  </si>
  <si>
    <t xml:space="preserve">Spatula, Heifetz, malleable, 8x155 mm   </t>
  </si>
  <si>
    <t xml:space="preserve">402,96  </t>
  </si>
  <si>
    <t>24-720-14-01</t>
  </si>
  <si>
    <t xml:space="preserve">Spatula, Heifetz, malleable, 14x155 mm  </t>
  </si>
  <si>
    <t>24-678-01-07</t>
  </si>
  <si>
    <t xml:space="preserve">GALEA RETRACTOR, (HOOK) YASARGIL, 30 CM </t>
  </si>
  <si>
    <t xml:space="preserve">114,04  </t>
  </si>
  <si>
    <t xml:space="preserve">2.052,72  </t>
  </si>
  <si>
    <t xml:space="preserve">69,57  </t>
  </si>
  <si>
    <t xml:space="preserve">834,84  </t>
  </si>
  <si>
    <t xml:space="preserve">776,16  </t>
  </si>
  <si>
    <t>15-734-24-07</t>
  </si>
  <si>
    <t xml:space="preserve">Wound spreader, sharp, 3x4 T., 24 cm    </t>
  </si>
  <si>
    <t xml:space="preserve">96,90  </t>
  </si>
  <si>
    <t xml:space="preserve">581,40  </t>
  </si>
  <si>
    <t>15-735-24-07</t>
  </si>
  <si>
    <t xml:space="preserve">Woundspreader, blunt, 3x4 T., 24 cm     </t>
  </si>
  <si>
    <t xml:space="preserve">121,02  </t>
  </si>
  <si>
    <t xml:space="preserve">726,12  </t>
  </si>
  <si>
    <t>15-732-20-07</t>
  </si>
  <si>
    <t xml:space="preserve">SPREADER, ADSON-ANDERSON, 4X4 T., 19 CM </t>
  </si>
  <si>
    <t xml:space="preserve">129,32  </t>
  </si>
  <si>
    <t xml:space="preserve">1.551,84  </t>
  </si>
  <si>
    <t>09-008-31-07</t>
  </si>
  <si>
    <t xml:space="preserve">Spreader, wound, Miskimon, sharp, 22 cm </t>
  </si>
  <si>
    <t xml:space="preserve">123,27  </t>
  </si>
  <si>
    <t xml:space="preserve">1.479,24  </t>
  </si>
  <si>
    <t>15-220-04-07</t>
  </si>
  <si>
    <t>RETRACTOR, VOLKMANN, SH., 4-PR., 22.5 CM</t>
  </si>
  <si>
    <t xml:space="preserve">29,16  </t>
  </si>
  <si>
    <t xml:space="preserve">349,92  </t>
  </si>
  <si>
    <t>15-221-04-07</t>
  </si>
  <si>
    <t>RETRACTOR, VOLKMANN, BL., 4-PR., 22.5 CM</t>
  </si>
  <si>
    <t xml:space="preserve">174,96  </t>
  </si>
  <si>
    <t>24-676-00-07</t>
  </si>
  <si>
    <t xml:space="preserve">APPLYING/REMOVAL FORCEPS F. RANEY-CLIPS </t>
  </si>
  <si>
    <t xml:space="preserve">119,23  </t>
  </si>
  <si>
    <t xml:space="preserve">1.430,76  </t>
  </si>
  <si>
    <t>24-852-60-07</t>
  </si>
  <si>
    <t>Grasp.fcps., Hunt, ang. down, 5 mm, 20cm</t>
  </si>
  <si>
    <t xml:space="preserve">174,10  </t>
  </si>
  <si>
    <t xml:space="preserve">1.044,60  </t>
  </si>
  <si>
    <t xml:space="preserve">261,18  </t>
  </si>
  <si>
    <t xml:space="preserve">1.567,08  </t>
  </si>
  <si>
    <t xml:space="preserve">257,58  </t>
  </si>
  <si>
    <t xml:space="preserve">1.545,48  </t>
  </si>
  <si>
    <t xml:space="preserve">87,92  </t>
  </si>
  <si>
    <t xml:space="preserve">527,52  </t>
  </si>
  <si>
    <t xml:space="preserve">63,07  </t>
  </si>
  <si>
    <t xml:space="preserve">378,42  </t>
  </si>
  <si>
    <t xml:space="preserve">34,70  </t>
  </si>
  <si>
    <t xml:space="preserve">208,20  </t>
  </si>
  <si>
    <t xml:space="preserve">113,14  </t>
  </si>
  <si>
    <t xml:space="preserve">678,84  </t>
  </si>
  <si>
    <t>55-804-10-01</t>
  </si>
  <si>
    <t xml:space="preserve">Lid, marTray, mini                      </t>
  </si>
  <si>
    <t xml:space="preserve">57,27  </t>
  </si>
  <si>
    <t xml:space="preserve">343,62  </t>
  </si>
  <si>
    <t xml:space="preserve">18,41  </t>
  </si>
  <si>
    <t xml:space="preserve">110,46  </t>
  </si>
  <si>
    <t xml:space="preserve">23.NEU Lumber Set. (12)                 </t>
  </si>
  <si>
    <t xml:space="preserve">3,69  </t>
  </si>
  <si>
    <t xml:space="preserve">88,56  </t>
  </si>
  <si>
    <t xml:space="preserve">7,79  </t>
  </si>
  <si>
    <t xml:space="preserve">93,48  </t>
  </si>
  <si>
    <t xml:space="preserve">8,52  </t>
  </si>
  <si>
    <t xml:space="preserve">102,24  </t>
  </si>
  <si>
    <t>10-149-01-07</t>
  </si>
  <si>
    <t xml:space="preserve">Scalpel handle, Landolt, bay., 21 cm    </t>
  </si>
  <si>
    <t xml:space="preserve">54,44  </t>
  </si>
  <si>
    <t xml:space="preserve">653,28  </t>
  </si>
  <si>
    <t xml:space="preserve">16,43  </t>
  </si>
  <si>
    <t xml:space="preserve">394,32  </t>
  </si>
  <si>
    <t xml:space="preserve">5,47  </t>
  </si>
  <si>
    <t xml:space="preserve">656,40  </t>
  </si>
  <si>
    <t xml:space="preserve">38,51  </t>
  </si>
  <si>
    <t xml:space="preserve">924,24  </t>
  </si>
  <si>
    <t>12-252-15-07</t>
  </si>
  <si>
    <t xml:space="preserve">TC-TISSUE FORCEPS, ADSON, 1X2 T., 15 CM </t>
  </si>
  <si>
    <t xml:space="preserve">58,09  </t>
  </si>
  <si>
    <t xml:space="preserve">697,08  </t>
  </si>
  <si>
    <t>12-252-12-07</t>
  </si>
  <si>
    <t xml:space="preserve">TC-TISSUE FORCEPS, ADSON, 1X2 T., 12 CM </t>
  </si>
  <si>
    <t xml:space="preserve">50,36  </t>
  </si>
  <si>
    <t xml:space="preserve">1.208,64  </t>
  </si>
  <si>
    <t>24-852-72-07</t>
  </si>
  <si>
    <t>Micro fcps., Yasargil, bay., 1x2T., 18cm</t>
  </si>
  <si>
    <t xml:space="preserve">98,57  </t>
  </si>
  <si>
    <t xml:space="preserve">2.365,68  </t>
  </si>
  <si>
    <t xml:space="preserve">26,51  </t>
  </si>
  <si>
    <t xml:space="preserve">636,24  </t>
  </si>
  <si>
    <t xml:space="preserve">20,63  </t>
  </si>
  <si>
    <t xml:space="preserve">247,56  </t>
  </si>
  <si>
    <t>20-338-13-07</t>
  </si>
  <si>
    <t xml:space="preserve">NEEDLEHOLDER, NEIVERT, GROOVED, 12.5 CM </t>
  </si>
  <si>
    <t xml:space="preserve">51,44  </t>
  </si>
  <si>
    <t xml:space="preserve">617,28  </t>
  </si>
  <si>
    <t xml:space="preserve">21,58  </t>
  </si>
  <si>
    <t xml:space="preserve">517,92  </t>
  </si>
  <si>
    <t xml:space="preserve">16,07  </t>
  </si>
  <si>
    <t xml:space="preserve">385,68  </t>
  </si>
  <si>
    <t xml:space="preserve">12,33  </t>
  </si>
  <si>
    <t xml:space="preserve">739,80  </t>
  </si>
  <si>
    <t xml:space="preserve">26,94  </t>
  </si>
  <si>
    <t xml:space="preserve">1.616,40  </t>
  </si>
  <si>
    <t xml:space="preserve">11,90  </t>
  </si>
  <si>
    <t xml:space="preserve">714,00  </t>
  </si>
  <si>
    <t xml:space="preserve">26,32  </t>
  </si>
  <si>
    <t xml:space="preserve">631,68  </t>
  </si>
  <si>
    <t xml:space="preserve">11,01  </t>
  </si>
  <si>
    <t xml:space="preserve">132,12  </t>
  </si>
  <si>
    <t xml:space="preserve">11,61  </t>
  </si>
  <si>
    <t xml:space="preserve">139,32  </t>
  </si>
  <si>
    <t xml:space="preserve">12,97  </t>
  </si>
  <si>
    <t xml:space="preserve">311,28  </t>
  </si>
  <si>
    <t>11-227-16-07</t>
  </si>
  <si>
    <t xml:space="preserve">SCISSORS, KELLY, CVD., 16 CM            </t>
  </si>
  <si>
    <t xml:space="preserve">27,43  </t>
  </si>
  <si>
    <t xml:space="preserve">329,16  </t>
  </si>
  <si>
    <t xml:space="preserve">15,41  </t>
  </si>
  <si>
    <t xml:space="preserve">184,92  </t>
  </si>
  <si>
    <t>23-497-20-07</t>
  </si>
  <si>
    <t xml:space="preserve">ELEVATOR, LANGENBECK, 10 MM, 19.5 CM    </t>
  </si>
  <si>
    <t xml:space="preserve">16,98  </t>
  </si>
  <si>
    <t xml:space="preserve">203,76  </t>
  </si>
  <si>
    <t>23-461-15-07</t>
  </si>
  <si>
    <t xml:space="preserve">RASPATORY, LAMBOTTE, 15 MM, 21.5 CM     </t>
  </si>
  <si>
    <t xml:space="preserve">54,13  </t>
  </si>
  <si>
    <t xml:space="preserve">649,56  </t>
  </si>
  <si>
    <t>23-125-12-07</t>
  </si>
  <si>
    <t xml:space="preserve">Osteotome, Stille, fine, 12 mm, 20.5 cm </t>
  </si>
  <si>
    <t xml:space="preserve">39,72  </t>
  </si>
  <si>
    <t xml:space="preserve">476,64  </t>
  </si>
  <si>
    <t>23-123-15-07</t>
  </si>
  <si>
    <t xml:space="preserve">CHISEL, STILLE, 15 MM, 20.5 CM          </t>
  </si>
  <si>
    <t xml:space="preserve">41,12  </t>
  </si>
  <si>
    <t xml:space="preserve">493,44  </t>
  </si>
  <si>
    <t>23-125-10-07</t>
  </si>
  <si>
    <t xml:space="preserve">Osteotome, Stille, fine, 10 mm, 20.5 cm </t>
  </si>
  <si>
    <t xml:space="preserve">39,46  </t>
  </si>
  <si>
    <t xml:space="preserve">947,04  </t>
  </si>
  <si>
    <t>23-125-20-07</t>
  </si>
  <si>
    <t xml:space="preserve">Osteotome, Stille, fine, 20 mm, 20.5 cm </t>
  </si>
  <si>
    <t xml:space="preserve">953,28  </t>
  </si>
  <si>
    <t xml:space="preserve">39,67  </t>
  </si>
  <si>
    <t xml:space="preserve">476,04  </t>
  </si>
  <si>
    <t>24-690-03-07</t>
  </si>
  <si>
    <t xml:space="preserve">Dissector, Penfield, # 3, 19.5 cm       </t>
  </si>
  <si>
    <t xml:space="preserve">62,87  </t>
  </si>
  <si>
    <t xml:space="preserve">754,44  </t>
  </si>
  <si>
    <t xml:space="preserve">30,86  </t>
  </si>
  <si>
    <t xml:space="preserve">370,32  </t>
  </si>
  <si>
    <t xml:space="preserve">467,76  </t>
  </si>
  <si>
    <t xml:space="preserve">20,82  </t>
  </si>
  <si>
    <t xml:space="preserve">499,68  </t>
  </si>
  <si>
    <t>24-744-19-07</t>
  </si>
  <si>
    <t xml:space="preserve">Hook, Cushing, # 2, 19 cm               </t>
  </si>
  <si>
    <t xml:space="preserve">25,87  </t>
  </si>
  <si>
    <t xml:space="preserve">620,88  </t>
  </si>
  <si>
    <t>24-742-19-07</t>
  </si>
  <si>
    <t xml:space="preserve">Hook, Cushing, # 1, 19 cm               </t>
  </si>
  <si>
    <t xml:space="preserve">310,44  </t>
  </si>
  <si>
    <t>15-906-00-07</t>
  </si>
  <si>
    <t xml:space="preserve">LAMINECTOMY RETRACTOR-FRAME, SCOVILLE   </t>
  </si>
  <si>
    <t xml:space="preserve">157,96  </t>
  </si>
  <si>
    <t xml:space="preserve">3.791,04  </t>
  </si>
  <si>
    <t>15-906-42-07</t>
  </si>
  <si>
    <t xml:space="preserve">HOOK-BLADE, TAYLOR, 4-PR., 64X50 MM     </t>
  </si>
  <si>
    <t xml:space="preserve">40,41  </t>
  </si>
  <si>
    <t xml:space="preserve">1.939,68  </t>
  </si>
  <si>
    <t>15-902-01-07</t>
  </si>
  <si>
    <t xml:space="preserve">Retractor, lumbar, Caspar, SL           </t>
  </si>
  <si>
    <t xml:space="preserve">341,07  </t>
  </si>
  <si>
    <t xml:space="preserve">8.185,68  </t>
  </si>
  <si>
    <t>15-902-33-09</t>
  </si>
  <si>
    <t xml:space="preserve">Blade, Caspar, lumbar, 40x45 mm         </t>
  </si>
  <si>
    <t xml:space="preserve">66,98  </t>
  </si>
  <si>
    <t xml:space="preserve">1.607,52  </t>
  </si>
  <si>
    <t>15-902-34-09</t>
  </si>
  <si>
    <t xml:space="preserve">Blade, Caspar, lumbar, 40x55 mm         </t>
  </si>
  <si>
    <t xml:space="preserve">3.215,04  </t>
  </si>
  <si>
    <t xml:space="preserve">90,48  </t>
  </si>
  <si>
    <t xml:space="preserve">1.085,76  </t>
  </si>
  <si>
    <t xml:space="preserve">112,99  </t>
  </si>
  <si>
    <t xml:space="preserve">1.355,88  </t>
  </si>
  <si>
    <t xml:space="preserve">120,75  </t>
  </si>
  <si>
    <t xml:space="preserve">2.898,00  </t>
  </si>
  <si>
    <t xml:space="preserve">115,10  </t>
  </si>
  <si>
    <t xml:space="preserve">2.762,40  </t>
  </si>
  <si>
    <t>15-902-21-09</t>
  </si>
  <si>
    <t xml:space="preserve">Hook, Hemi-Laminektomie, Caspar, small  </t>
  </si>
  <si>
    <t xml:space="preserve">85,94  </t>
  </si>
  <si>
    <t xml:space="preserve">1.031,28  </t>
  </si>
  <si>
    <t>15-902-41-09</t>
  </si>
  <si>
    <t xml:space="preserve">Hook, Hemi-Laminektomie, Caspar, large  </t>
  </si>
  <si>
    <t>15-813-40-07</t>
  </si>
  <si>
    <t xml:space="preserve">Discectomy-Speculum lumb., Caspar,4cm   </t>
  </si>
  <si>
    <t xml:space="preserve">346,76  </t>
  </si>
  <si>
    <t xml:space="preserve">4.161,12  </t>
  </si>
  <si>
    <t>15-813-45-07</t>
  </si>
  <si>
    <t xml:space="preserve">Discectomy-Speculum lumb., Caspar,4.5cm </t>
  </si>
  <si>
    <t>15-813-50-07</t>
  </si>
  <si>
    <t xml:space="preserve">Discectomy-Speculum lumb., Caspar,5cm   </t>
  </si>
  <si>
    <t>15-813-55-07</t>
  </si>
  <si>
    <t xml:space="preserve">Discectomy-Speculum lumb., Caspar,5.5cm </t>
  </si>
  <si>
    <t>15-813-60-07</t>
  </si>
  <si>
    <t xml:space="preserve">Discectomy-Speculum lumb., Caspar,6cm   </t>
  </si>
  <si>
    <t>15-813-65-07</t>
  </si>
  <si>
    <t xml:space="preserve">Discectomy-Speculum lumb., Caspar,6.5cm </t>
  </si>
  <si>
    <t>15-814-10-07</t>
  </si>
  <si>
    <t>Discectomy-counter retract.,lumb.,Caspar</t>
  </si>
  <si>
    <t xml:space="preserve">245,21  </t>
  </si>
  <si>
    <t xml:space="preserve">2.942,52  </t>
  </si>
  <si>
    <t>15-814-40-07</t>
  </si>
  <si>
    <t xml:space="preserve">Blade, lateral f. 15-814-10-07, 3.5 cm  </t>
  </si>
  <si>
    <t xml:space="preserve">39,63  </t>
  </si>
  <si>
    <t xml:space="preserve">475,56  </t>
  </si>
  <si>
    <t>15-814-41-07</t>
  </si>
  <si>
    <t xml:space="preserve">Blade, lateral f. 15-814-10-07, 4 cm    </t>
  </si>
  <si>
    <t>15-814-42-07</t>
  </si>
  <si>
    <t xml:space="preserve">Blade, lateral f. 15-814-10-07, 4.5 cm  </t>
  </si>
  <si>
    <t>15-814-43-07</t>
  </si>
  <si>
    <t xml:space="preserve">Blade, lateral f. 15-814-10-07, 5 cm    </t>
  </si>
  <si>
    <t>15-814-44-07</t>
  </si>
  <si>
    <t xml:space="preserve">Blade, lateral f. 15-814-10-07, 5.5 cm  </t>
  </si>
  <si>
    <t>15-814-45-07</t>
  </si>
  <si>
    <t xml:space="preserve">Blade, lateral f. 15-814-10-07, 6 cm    </t>
  </si>
  <si>
    <t>15-814-46-07</t>
  </si>
  <si>
    <t xml:space="preserve">Blade, lateral f. 15-814-10-07, 6.5 cm  </t>
  </si>
  <si>
    <t>15-814-99-07</t>
  </si>
  <si>
    <t xml:space="preserve">Forceps f. change of blades             </t>
  </si>
  <si>
    <t xml:space="preserve">40,43  </t>
  </si>
  <si>
    <t xml:space="preserve">485,16  </t>
  </si>
  <si>
    <t xml:space="preserve">19,83  </t>
  </si>
  <si>
    <t xml:space="preserve">237,96  </t>
  </si>
  <si>
    <t xml:space="preserve">12,35  </t>
  </si>
  <si>
    <t xml:space="preserve">148,20  </t>
  </si>
  <si>
    <t>23-335-02-07</t>
  </si>
  <si>
    <t xml:space="preserve">BONE CURETTE, BRUNS, OVAL, NO. 2, 23 CM </t>
  </si>
  <si>
    <t xml:space="preserve">37,86  </t>
  </si>
  <si>
    <t xml:space="preserve">454,32  </t>
  </si>
  <si>
    <t>23-907-24-07</t>
  </si>
  <si>
    <t xml:space="preserve">BONE RONGEUR, SLIM, 24.5 CM             </t>
  </si>
  <si>
    <t xml:space="preserve">224,08  </t>
  </si>
  <si>
    <t xml:space="preserve">2.688,96  </t>
  </si>
  <si>
    <t xml:space="preserve">244,62  </t>
  </si>
  <si>
    <t xml:space="preserve">2.935,44  </t>
  </si>
  <si>
    <t>23-905-24-07</t>
  </si>
  <si>
    <t xml:space="preserve">BONE RONGEUR, WIDE, 24.5 CM             </t>
  </si>
  <si>
    <t xml:space="preserve">214,55  </t>
  </si>
  <si>
    <t xml:space="preserve">2.574,60  </t>
  </si>
  <si>
    <t xml:space="preserve">243,86  </t>
  </si>
  <si>
    <t xml:space="preserve">2.926,32  </t>
  </si>
  <si>
    <t xml:space="preserve">240,51  </t>
  </si>
  <si>
    <t xml:space="preserve">2.886,12  </t>
  </si>
  <si>
    <t>55-442-15-04</t>
  </si>
  <si>
    <t xml:space="preserve">CONTAINER MS, 60X30X16 CM, HANDLE GREY  </t>
  </si>
  <si>
    <t xml:space="preserve">416,33  </t>
  </si>
  <si>
    <t xml:space="preserve">4.995,96  </t>
  </si>
  <si>
    <t xml:space="preserve">4,09  </t>
  </si>
  <si>
    <t xml:space="preserve">98,16  </t>
  </si>
  <si>
    <t>23-951-18-07</t>
  </si>
  <si>
    <t>BONE CUT. FORCEPS, RUSKIN, CVD., 18.5 CM</t>
  </si>
  <si>
    <t xml:space="preserve">205,63  </t>
  </si>
  <si>
    <t xml:space="preserve">2.467,56  </t>
  </si>
  <si>
    <t xml:space="preserve">195,92  </t>
  </si>
  <si>
    <t xml:space="preserve">2.351,04  </t>
  </si>
  <si>
    <t>24-981-30-07</t>
  </si>
  <si>
    <t xml:space="preserve">Rongeur, Caspar, upw., 3 mm, 18 cm      </t>
  </si>
  <si>
    <t>24-981-50-07</t>
  </si>
  <si>
    <t xml:space="preserve">Rongeur, Caspar, downw., 3 mm, 18 cm    </t>
  </si>
  <si>
    <t>24-979-35-07</t>
  </si>
  <si>
    <t xml:space="preserve">Punch, 40°, 5mm, slim, 20cm             </t>
  </si>
  <si>
    <t xml:space="preserve">208,78  </t>
  </si>
  <si>
    <t xml:space="preserve">2.505,36  </t>
  </si>
  <si>
    <t>24-979-27-07</t>
  </si>
  <si>
    <t xml:space="preserve">Punch, 40°, 4mm, slim, 20cm             </t>
  </si>
  <si>
    <t>24-979-20-07</t>
  </si>
  <si>
    <t xml:space="preserve">Punch, 90°, 3mm, slim, 20cm             </t>
  </si>
  <si>
    <t>24-979-28-07</t>
  </si>
  <si>
    <t xml:space="preserve">Punch, 90°, 4mm, slim, 20cm             </t>
  </si>
  <si>
    <t>24-979-18-07</t>
  </si>
  <si>
    <t xml:space="preserve">Punch, 90°, 3mm, slim, 18cm             </t>
  </si>
  <si>
    <t>24-979-26-07</t>
  </si>
  <si>
    <t xml:space="preserve">Punch, 90°, 4mm, slim, 18cm             </t>
  </si>
  <si>
    <t xml:space="preserve">82,09  </t>
  </si>
  <si>
    <t xml:space="preserve">985,08  </t>
  </si>
  <si>
    <t xml:space="preserve">58,88  </t>
  </si>
  <si>
    <t xml:space="preserve">706,56  </t>
  </si>
  <si>
    <t>25.Basic Vascular Renal Transp. Set. (1)</t>
  </si>
  <si>
    <t>14-223-27-07</t>
  </si>
  <si>
    <t xml:space="preserve">FORCEPS, GROSS-MAIER, CVD., 26,5 CM     </t>
  </si>
  <si>
    <t xml:space="preserve">23,98  </t>
  </si>
  <si>
    <t xml:space="preserve">47,96  </t>
  </si>
  <si>
    <t xml:space="preserve">12,93  </t>
  </si>
  <si>
    <t xml:space="preserve">77,58  </t>
  </si>
  <si>
    <t>13-924-11-07</t>
  </si>
  <si>
    <t xml:space="preserve">TOWEL FORCEPS F. PAPER DRAPES, 11.5 CM  </t>
  </si>
  <si>
    <t xml:space="preserve">15,50  </t>
  </si>
  <si>
    <t xml:space="preserve">93,00  </t>
  </si>
  <si>
    <t xml:space="preserve">3,67  </t>
  </si>
  <si>
    <t xml:space="preserve">7,34  </t>
  </si>
  <si>
    <t>11-367-14-07</t>
  </si>
  <si>
    <t xml:space="preserve">SCISSORS, JAMESON, CVD., 15.5 CM        </t>
  </si>
  <si>
    <t xml:space="preserve">62,10  </t>
  </si>
  <si>
    <t xml:space="preserve">69,25  </t>
  </si>
  <si>
    <t xml:space="preserve">52,69  </t>
  </si>
  <si>
    <t xml:space="preserve">68,19  </t>
  </si>
  <si>
    <t>11-961-18-07</t>
  </si>
  <si>
    <t xml:space="preserve">TC-DISS. SCISSORS, FINE, CVD., 18 CM    </t>
  </si>
  <si>
    <t xml:space="preserve">76,00  </t>
  </si>
  <si>
    <t>11-943-20-07</t>
  </si>
  <si>
    <t xml:space="preserve">TC-DISSECTING SCISSORS, CVD., 20.5 CM   </t>
  </si>
  <si>
    <t>11-914-18-07</t>
  </si>
  <si>
    <t xml:space="preserve">TC-Ligature sciss., cvd., serr., 18 cm  </t>
  </si>
  <si>
    <t xml:space="preserve">79,91  </t>
  </si>
  <si>
    <t>11-953-16-07</t>
  </si>
  <si>
    <t xml:space="preserve">TC-SCISSORS, MAYO-LEXER, CVD., 16 CM    </t>
  </si>
  <si>
    <t xml:space="preserve">65,62  </t>
  </si>
  <si>
    <t xml:space="preserve">10,02  </t>
  </si>
  <si>
    <t>12-301-14-07</t>
  </si>
  <si>
    <t xml:space="preserve">TISSUE FORCEPS, 1X2 T., 14.5 CM         </t>
  </si>
  <si>
    <t>12-321-20-07</t>
  </si>
  <si>
    <t xml:space="preserve">TISSUE FORCEPS, 1X2 T., SLIM, 20.5 CM   </t>
  </si>
  <si>
    <t xml:space="preserve">8,96  </t>
  </si>
  <si>
    <t xml:space="preserve">17,92  </t>
  </si>
  <si>
    <t>12-282-16-09</t>
  </si>
  <si>
    <t xml:space="preserve">TI-ATRAUMA-FORCEPS, 1.5 MM, 16 CM       </t>
  </si>
  <si>
    <t xml:space="preserve">476,70  </t>
  </si>
  <si>
    <t xml:space="preserve">31,20  </t>
  </si>
  <si>
    <t xml:space="preserve">62,40  </t>
  </si>
  <si>
    <t>12-282-20-09</t>
  </si>
  <si>
    <t xml:space="preserve">TI-ATRAUMA-FORCEPS, 1.5 MM, 20.5 CM     </t>
  </si>
  <si>
    <t xml:space="preserve">255,29  </t>
  </si>
  <si>
    <t xml:space="preserve">510,58  </t>
  </si>
  <si>
    <t xml:space="preserve">34,08  </t>
  </si>
  <si>
    <t xml:space="preserve">68,16  </t>
  </si>
  <si>
    <t>13-384-14-07</t>
  </si>
  <si>
    <t xml:space="preserve">FORCEPS, KOCHER, 1X2 T., STR., 14 CM    </t>
  </si>
  <si>
    <t xml:space="preserve">13,11  </t>
  </si>
  <si>
    <t xml:space="preserve">78,66  </t>
  </si>
  <si>
    <t xml:space="preserve">12,74  </t>
  </si>
  <si>
    <t xml:space="preserve">76,44  </t>
  </si>
  <si>
    <t xml:space="preserve">41,36  </t>
  </si>
  <si>
    <t>13-448-00-07</t>
  </si>
  <si>
    <t xml:space="preserve">FORCEPS, OVERHOLT, FINE, CVD., 21.5 CM  </t>
  </si>
  <si>
    <t xml:space="preserve">55,14  </t>
  </si>
  <si>
    <t xml:space="preserve">110,28  </t>
  </si>
  <si>
    <t xml:space="preserve">35,36  </t>
  </si>
  <si>
    <t xml:space="preserve">70,72  </t>
  </si>
  <si>
    <t>13-443-02-07</t>
  </si>
  <si>
    <t xml:space="preserve">DISS. FORCEPS, OVERHOLT, NO. 2, 20 CM   </t>
  </si>
  <si>
    <t>13-304-14-07</t>
  </si>
  <si>
    <t xml:space="preserve">Hemost. forceps, Micro-Adson, 14 cm     </t>
  </si>
  <si>
    <t xml:space="preserve">76,14  </t>
  </si>
  <si>
    <t xml:space="preserve">37,16  </t>
  </si>
  <si>
    <t xml:space="preserve">22,73  </t>
  </si>
  <si>
    <t xml:space="preserve">30,36  </t>
  </si>
  <si>
    <t xml:space="preserve">31,91  </t>
  </si>
  <si>
    <t xml:space="preserve">47,91  </t>
  </si>
  <si>
    <t xml:space="preserve">44,91  </t>
  </si>
  <si>
    <t xml:space="preserve">89,82  </t>
  </si>
  <si>
    <t>20-654-15-07</t>
  </si>
  <si>
    <t>TC-NEEDLEHOLDER, RYDER-VASCULAR, 15.5 CM</t>
  </si>
  <si>
    <t xml:space="preserve">60,97  </t>
  </si>
  <si>
    <t xml:space="preserve">18,61  </t>
  </si>
  <si>
    <t xml:space="preserve">37,22  </t>
  </si>
  <si>
    <t>15-091-14-07</t>
  </si>
  <si>
    <t xml:space="preserve">HOOKLET, DESMARRES, 14 MM, 16 CM        </t>
  </si>
  <si>
    <t xml:space="preserve">22,68  </t>
  </si>
  <si>
    <t xml:space="preserve">45,36  </t>
  </si>
  <si>
    <t>15-655-00-01</t>
  </si>
  <si>
    <t xml:space="preserve">RETRACTOR, ROUX, SET, NO. 1-3, 17 CM    </t>
  </si>
  <si>
    <t xml:space="preserve">28,35  </t>
  </si>
  <si>
    <t xml:space="preserve">21,14  </t>
  </si>
  <si>
    <t xml:space="preserve">42,28  </t>
  </si>
  <si>
    <t>15-293-04-07</t>
  </si>
  <si>
    <t>RETRACTOR, LANGENBECK, 40X11 MM, 21,5 CM</t>
  </si>
  <si>
    <t xml:space="preserve">23,51  </t>
  </si>
  <si>
    <t xml:space="preserve">47,02  </t>
  </si>
  <si>
    <t>15-317-06-07</t>
  </si>
  <si>
    <t>RETRACT., KOCHER-LANG., 55X11 MM, 21.5CM</t>
  </si>
  <si>
    <t xml:space="preserve">32,54  </t>
  </si>
  <si>
    <t xml:space="preserve">65,08  </t>
  </si>
  <si>
    <t>15-222-04-07</t>
  </si>
  <si>
    <t>RETR., VOLKMANN, SEMISH., 4-PR., 22.5 CM</t>
  </si>
  <si>
    <t xml:space="preserve">27,07  </t>
  </si>
  <si>
    <t xml:space="preserve">54,14  </t>
  </si>
  <si>
    <t>15-171-10-07</t>
  </si>
  <si>
    <t xml:space="preserve">HOOKLET, CUSHING, 10 MM, 20.5 CM        </t>
  </si>
  <si>
    <t xml:space="preserve">27,50  </t>
  </si>
  <si>
    <t xml:space="preserve">55,00  </t>
  </si>
  <si>
    <t>15-777-32-07</t>
  </si>
  <si>
    <t xml:space="preserve">Spreader, Adson, bl., 4X5 T., 33 cm     </t>
  </si>
  <si>
    <t xml:space="preserve">155,78  </t>
  </si>
  <si>
    <t xml:space="preserve">112,33  </t>
  </si>
  <si>
    <t>15-773-13-07</t>
  </si>
  <si>
    <t xml:space="preserve">Spreader, Adson, blunt, 3x4 t., 13cm    </t>
  </si>
  <si>
    <t xml:space="preserve">164,01  </t>
  </si>
  <si>
    <t xml:space="preserve">21,30  </t>
  </si>
  <si>
    <t>24-535-18-07</t>
  </si>
  <si>
    <t xml:space="preserve">INTIMA SPATULA, BLUNT, 3 MM, 18.5 CM    </t>
  </si>
  <si>
    <t xml:space="preserve">33,29  </t>
  </si>
  <si>
    <t>24-687-21-07</t>
  </si>
  <si>
    <t xml:space="preserve">Separator, Davis, semi-sharp, 21.5 cm   </t>
  </si>
  <si>
    <t xml:space="preserve">20,71  </t>
  </si>
  <si>
    <t>16-103-18-01</t>
  </si>
  <si>
    <t xml:space="preserve">PROBE, BUTTON END, Ø 1.5/1.5 MM, 18 CM  </t>
  </si>
  <si>
    <t xml:space="preserve">5,82  </t>
  </si>
  <si>
    <t>18-695-03-07</t>
  </si>
  <si>
    <t>Cannula, Schmid, malleable, ø 3 mm, 15cm</t>
  </si>
  <si>
    <t xml:space="preserve">15,69  </t>
  </si>
  <si>
    <t>13-122-14-07</t>
  </si>
  <si>
    <t xml:space="preserve">ATR. BULLDOG CLAMP, STR., 14 MM         </t>
  </si>
  <si>
    <t xml:space="preserve">78,36  </t>
  </si>
  <si>
    <t xml:space="preserve">156,72  </t>
  </si>
  <si>
    <t>13-123-20-07</t>
  </si>
  <si>
    <t xml:space="preserve">ATR. BULLDOG CLAMP, ANG., 20 MM         </t>
  </si>
  <si>
    <t xml:space="preserve">82,55  </t>
  </si>
  <si>
    <t xml:space="preserve">165,10  </t>
  </si>
  <si>
    <t>13-122-20-07</t>
  </si>
  <si>
    <t xml:space="preserve">ATR. BULLDOG CLAMP, STR., 20 MM         </t>
  </si>
  <si>
    <t xml:space="preserve">80,01  </t>
  </si>
  <si>
    <t>13-125-20-07</t>
  </si>
  <si>
    <t xml:space="preserve">Atr. bulldog clamp, cvd., 20 mm         </t>
  </si>
  <si>
    <t xml:space="preserve">70,37  </t>
  </si>
  <si>
    <t xml:space="preserve">140,74  </t>
  </si>
  <si>
    <t>24-393-07-07</t>
  </si>
  <si>
    <t xml:space="preserve">BULLDOG CLAMP, DE BAKEY, CVD., 8 CM     </t>
  </si>
  <si>
    <t xml:space="preserve">66,41  </t>
  </si>
  <si>
    <t xml:space="preserve">132,82  </t>
  </si>
  <si>
    <t xml:space="preserve">136,38  </t>
  </si>
  <si>
    <t>13-116-65-07</t>
  </si>
  <si>
    <t>BULLDOG CLAMP, JOHNS-HOPKINS CVD., 65 MM</t>
  </si>
  <si>
    <t xml:space="preserve">31,34  </t>
  </si>
  <si>
    <t xml:space="preserve">62,68  </t>
  </si>
  <si>
    <t>13-116-75-07</t>
  </si>
  <si>
    <t>BULLDOG CLAMP, JOHNS-HOPKINS CVD., 75 MM</t>
  </si>
  <si>
    <t xml:space="preserve">35,51  </t>
  </si>
  <si>
    <t xml:space="preserve">71,02  </t>
  </si>
  <si>
    <t>13-116-90-07</t>
  </si>
  <si>
    <t>BULLDOG CLAMP, JOHNS-HOPKINS CVD., 90 MM</t>
  </si>
  <si>
    <t xml:space="preserve">38,03  </t>
  </si>
  <si>
    <t xml:space="preserve">76,06  </t>
  </si>
  <si>
    <t>24-413-18-07</t>
  </si>
  <si>
    <t xml:space="preserve">ATR. FORCEPS, LELAND-JONES, ANG., 18 CM </t>
  </si>
  <si>
    <t xml:space="preserve">97,74  </t>
  </si>
  <si>
    <t xml:space="preserve">195,48  </t>
  </si>
  <si>
    <t>24-456-18-07</t>
  </si>
  <si>
    <t xml:space="preserve">ANASTOM. FORCEPS, DERRA, NO. 3, 17.5 CM </t>
  </si>
  <si>
    <t xml:space="preserve">88,55  </t>
  </si>
  <si>
    <t xml:space="preserve">93,71  </t>
  </si>
  <si>
    <t>30-136-16-07</t>
  </si>
  <si>
    <t xml:space="preserve">ATR. TISSUE FORCEPS, ALLIS, 15.5 CM     </t>
  </si>
  <si>
    <t xml:space="preserve">101,54  </t>
  </si>
  <si>
    <t xml:space="preserve">203,08  </t>
  </si>
  <si>
    <t>09-008-13-07</t>
  </si>
  <si>
    <t xml:space="preserve">Fcps., tampon, Pelkmann, cvd., 25cm     </t>
  </si>
  <si>
    <t xml:space="preserve">36,40  </t>
  </si>
  <si>
    <t xml:space="preserve">6,72  </t>
  </si>
  <si>
    <t xml:space="preserve">20,58  </t>
  </si>
  <si>
    <t xml:space="preserve">7,65  </t>
  </si>
  <si>
    <t>16-250-00-01</t>
  </si>
  <si>
    <t xml:space="preserve">VARICOSE VEIN SET, NABATOFF, COMPLETE   </t>
  </si>
  <si>
    <t xml:space="preserve">231,29  </t>
  </si>
  <si>
    <t xml:space="preserve">462,58  </t>
  </si>
  <si>
    <t xml:space="preserve">76,11  </t>
  </si>
  <si>
    <t xml:space="preserve">413,90  </t>
  </si>
  <si>
    <t xml:space="preserve">58,55  </t>
  </si>
  <si>
    <t>Origin</t>
  </si>
  <si>
    <t>U price</t>
  </si>
  <si>
    <t>T price</t>
  </si>
  <si>
    <t>Code</t>
  </si>
  <si>
    <t>UNIT</t>
  </si>
  <si>
    <t>VESSEL CLAMP FOR ARTERYS, SINGLE CLAMP LENGTH 11 MM, ØVESSEL 0,6-1,4 MM PU = 2 PCS., CODE: B-2A</t>
  </si>
  <si>
    <t xml:space="preserve"> </t>
  </si>
  <si>
    <t>QTY/Set</t>
  </si>
  <si>
    <t>QTY</t>
  </si>
  <si>
    <t>11.Basic Instr. for Plast. &amp; Reconst.(21)</t>
  </si>
  <si>
    <t>VESSEL CLAMP FOR ARTERYS, SINGLE CLAMP LENGTH 25 MM, Ø VESSEL 1,5-3,3 MM PU = 2 PCS., CODE: HD-S4A</t>
  </si>
  <si>
    <t>VESSEL CLAMP FOR ARTERYS, SINGLE CLAMP LENGTH 36 MM, Ø VESSEL 2,0-5,0 MM PU = 2 PCS., CODE: RD-S 5A</t>
  </si>
  <si>
    <t>QTY/set</t>
  </si>
  <si>
    <t>VESSEL CLAMP FOR VEINS, SINGLE CLAMP LENGTH 25 MM, ØVESSEL 1,5-3,3 MM PU = 2 PCS., CODE: HD-S4V</t>
  </si>
  <si>
    <t>VESSEL CLAMP FOR ARTERYS, SINGLE CLAMP LENGTH 25 MM, Ø VESSEL 1,5-3,3 MM PU = 2 PCS., CODE:HD-S4A</t>
  </si>
  <si>
    <t>Qty/Set</t>
  </si>
  <si>
    <t>Total</t>
  </si>
  <si>
    <t>Qty/Sets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</si>
</sst>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1EDB41-29DF-4C11-8D8C-FEEF64DF2D61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B274-930E-4E09-9B47-6833A9981979}">
  <dimension ref="A1:H9"/>
  <sheetViews>
    <sheetView view="pageBreakPreview" zoomScale="60" zoomScaleNormal="100" workbookViewId="0">
      <selection activeCell="H9" sqref="G9:H9"/>
    </sheetView>
  </sheetViews>
  <sheetFormatPr defaultColWidth="30.90625" defaultRowHeight="14.5" x14ac:dyDescent="0.35"/>
  <cols>
    <col min="1" max="1" width="14.90625" style="4" customWidth="1"/>
    <col min="2" max="2" width="35.36328125" style="4" bestFit="1" customWidth="1"/>
    <col min="3" max="3" width="6.36328125" style="4" bestFit="1" customWidth="1"/>
    <col min="4" max="4" width="10.90625" style="4" bestFit="1" customWidth="1"/>
    <col min="5" max="5" width="5.36328125" style="4" bestFit="1" customWidth="1"/>
    <col min="6" max="6" width="7.26953125" style="4" bestFit="1" customWidth="1"/>
    <col min="7" max="8" width="8.453125" style="4" bestFit="1" customWidth="1"/>
    <col min="9" max="16384" width="30.90625" style="4"/>
  </cols>
  <sheetData>
    <row r="1" spans="1:8" ht="25" customHeight="1" x14ac:dyDescent="0.35">
      <c r="A1" s="5" t="s">
        <v>3483</v>
      </c>
      <c r="B1" s="6" t="s">
        <v>0</v>
      </c>
      <c r="C1" s="6" t="s">
        <v>3480</v>
      </c>
      <c r="D1" s="6" t="s">
        <v>3488</v>
      </c>
      <c r="E1" s="6" t="s">
        <v>3484</v>
      </c>
      <c r="F1" s="6" t="s">
        <v>3481</v>
      </c>
      <c r="G1" s="6" t="s">
        <v>3482</v>
      </c>
      <c r="H1" s="6" t="s">
        <v>3487</v>
      </c>
    </row>
    <row r="2" spans="1:8" ht="25" customHeight="1" x14ac:dyDescent="0.35">
      <c r="A2" s="7" t="s">
        <v>2</v>
      </c>
      <c r="B2" s="7" t="s">
        <v>3</v>
      </c>
      <c r="C2" s="7" t="s">
        <v>4</v>
      </c>
      <c r="D2" s="7">
        <v>3</v>
      </c>
      <c r="E2" s="7" t="s">
        <v>5</v>
      </c>
      <c r="F2" s="7" t="s">
        <v>6</v>
      </c>
      <c r="G2" s="7" t="s">
        <v>7</v>
      </c>
      <c r="H2" s="7">
        <f>D2/3</f>
        <v>1</v>
      </c>
    </row>
    <row r="3" spans="1:8" ht="25" customHeight="1" x14ac:dyDescent="0.35">
      <c r="A3" s="7" t="s">
        <v>8</v>
      </c>
      <c r="B3" s="7" t="s">
        <v>9</v>
      </c>
      <c r="C3" s="7" t="s">
        <v>4</v>
      </c>
      <c r="D3" s="7">
        <v>6</v>
      </c>
      <c r="E3" s="7" t="s">
        <v>5</v>
      </c>
      <c r="F3" s="7" t="s">
        <v>10</v>
      </c>
      <c r="G3" s="7" t="s">
        <v>11</v>
      </c>
      <c r="H3" s="7">
        <f t="shared" ref="H3:H8" si="0">D3/3</f>
        <v>2</v>
      </c>
    </row>
    <row r="4" spans="1:8" ht="25" customHeight="1" x14ac:dyDescent="0.35">
      <c r="A4" s="7" t="s">
        <v>12</v>
      </c>
      <c r="B4" s="7" t="s">
        <v>13</v>
      </c>
      <c r="C4" s="7" t="s">
        <v>4</v>
      </c>
      <c r="D4" s="7">
        <v>6</v>
      </c>
      <c r="E4" s="7" t="s">
        <v>5</v>
      </c>
      <c r="F4" s="7" t="s">
        <v>14</v>
      </c>
      <c r="G4" s="7" t="s">
        <v>15</v>
      </c>
      <c r="H4" s="7">
        <f t="shared" si="0"/>
        <v>2</v>
      </c>
    </row>
    <row r="5" spans="1:8" ht="25" customHeight="1" x14ac:dyDescent="0.35">
      <c r="A5" s="7" t="s">
        <v>16</v>
      </c>
      <c r="B5" s="7" t="s">
        <v>17</v>
      </c>
      <c r="C5" s="7" t="s">
        <v>4</v>
      </c>
      <c r="D5" s="7">
        <v>9</v>
      </c>
      <c r="E5" s="7" t="s">
        <v>5</v>
      </c>
      <c r="F5" s="7" t="s">
        <v>18</v>
      </c>
      <c r="G5" s="7" t="s">
        <v>19</v>
      </c>
      <c r="H5" s="7">
        <f t="shared" si="0"/>
        <v>3</v>
      </c>
    </row>
    <row r="6" spans="1:8" ht="25" customHeight="1" x14ac:dyDescent="0.35">
      <c r="A6" s="7" t="s">
        <v>20</v>
      </c>
      <c r="B6" s="7" t="s">
        <v>21</v>
      </c>
      <c r="C6" s="7" t="s">
        <v>4</v>
      </c>
      <c r="D6" s="7">
        <v>3</v>
      </c>
      <c r="E6" s="7" t="s">
        <v>5</v>
      </c>
      <c r="F6" s="7" t="s">
        <v>22</v>
      </c>
      <c r="G6" s="7" t="s">
        <v>23</v>
      </c>
      <c r="H6" s="7">
        <f t="shared" si="0"/>
        <v>1</v>
      </c>
    </row>
    <row r="7" spans="1:8" ht="25" customHeight="1" x14ac:dyDescent="0.35">
      <c r="A7" s="7" t="s">
        <v>24</v>
      </c>
      <c r="B7" s="7" t="s">
        <v>25</v>
      </c>
      <c r="C7" s="7" t="s">
        <v>4</v>
      </c>
      <c r="D7" s="7">
        <v>3</v>
      </c>
      <c r="E7" s="7" t="s">
        <v>5</v>
      </c>
      <c r="F7" s="7" t="s">
        <v>22</v>
      </c>
      <c r="G7" s="7" t="s">
        <v>23</v>
      </c>
      <c r="H7" s="7">
        <f t="shared" si="0"/>
        <v>1</v>
      </c>
    </row>
    <row r="8" spans="1:8" ht="25" customHeight="1" x14ac:dyDescent="0.35">
      <c r="A8" s="7" t="s">
        <v>26</v>
      </c>
      <c r="B8" s="7" t="s">
        <v>27</v>
      </c>
      <c r="C8" s="7" t="s">
        <v>4</v>
      </c>
      <c r="D8" s="7">
        <v>3</v>
      </c>
      <c r="E8" s="7" t="s">
        <v>5</v>
      </c>
      <c r="F8" s="7" t="s">
        <v>28</v>
      </c>
      <c r="G8" s="7" t="s">
        <v>29</v>
      </c>
      <c r="H8" s="7">
        <f t="shared" si="0"/>
        <v>1</v>
      </c>
    </row>
    <row r="9" spans="1:8" x14ac:dyDescent="0.35">
      <c r="G9" s="11" t="s">
        <v>3496</v>
      </c>
      <c r="H9" s="11">
        <f>SUM(H2:H8)</f>
        <v>11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474D-4585-4D9D-8044-AD136D34D2E5}">
  <dimension ref="A1:H65"/>
  <sheetViews>
    <sheetView view="pageBreakPreview" topLeftCell="A56" zoomScale="60" zoomScaleNormal="70" workbookViewId="0">
      <selection activeCell="H65" sqref="G65:H65"/>
    </sheetView>
  </sheetViews>
  <sheetFormatPr defaultRowHeight="14.5" x14ac:dyDescent="0.35"/>
  <cols>
    <col min="1" max="1" width="21.1796875" customWidth="1"/>
    <col min="2" max="2" width="38.7265625" customWidth="1"/>
  </cols>
  <sheetData>
    <row r="1" spans="1:8" ht="25" customHeight="1" x14ac:dyDescent="0.35">
      <c r="A1" s="5" t="s">
        <v>3483</v>
      </c>
      <c r="B1" s="6" t="s">
        <v>30</v>
      </c>
      <c r="C1" s="6" t="s">
        <v>3480</v>
      </c>
      <c r="D1" s="6" t="s">
        <v>3488</v>
      </c>
      <c r="E1" s="6" t="s">
        <v>3484</v>
      </c>
      <c r="F1" s="6" t="s">
        <v>3481</v>
      </c>
      <c r="G1" s="6" t="s">
        <v>3482</v>
      </c>
      <c r="H1" s="6" t="s">
        <v>3487</v>
      </c>
    </row>
    <row r="2" spans="1:8" ht="25" customHeight="1" x14ac:dyDescent="0.35">
      <c r="A2" s="7" t="s">
        <v>31</v>
      </c>
      <c r="B2" s="7" t="s">
        <v>32</v>
      </c>
      <c r="C2" s="7" t="s">
        <v>4</v>
      </c>
      <c r="D2" s="7">
        <v>22</v>
      </c>
      <c r="E2" s="7" t="s">
        <v>5</v>
      </c>
      <c r="F2" s="7" t="s">
        <v>33</v>
      </c>
      <c r="G2" s="7" t="s">
        <v>34</v>
      </c>
      <c r="H2" s="7">
        <f>D2/11</f>
        <v>2</v>
      </c>
    </row>
    <row r="3" spans="1:8" ht="25" customHeight="1" x14ac:dyDescent="0.35">
      <c r="A3" s="7" t="s">
        <v>35</v>
      </c>
      <c r="B3" s="7" t="s">
        <v>36</v>
      </c>
      <c r="C3" s="7" t="s">
        <v>4</v>
      </c>
      <c r="D3" s="7">
        <v>22</v>
      </c>
      <c r="E3" s="7" t="s">
        <v>5</v>
      </c>
      <c r="F3" s="7" t="s">
        <v>37</v>
      </c>
      <c r="G3" s="7" t="s">
        <v>38</v>
      </c>
      <c r="H3" s="7">
        <f t="shared" ref="H3:H64" si="0">D3/11</f>
        <v>2</v>
      </c>
    </row>
    <row r="4" spans="1:8" ht="25" customHeight="1" x14ac:dyDescent="0.35">
      <c r="A4" s="7" t="s">
        <v>39</v>
      </c>
      <c r="B4" s="7" t="s">
        <v>40</v>
      </c>
      <c r="C4" s="7" t="s">
        <v>4</v>
      </c>
      <c r="D4" s="7">
        <v>22</v>
      </c>
      <c r="E4" s="7" t="s">
        <v>5</v>
      </c>
      <c r="F4" s="7" t="s">
        <v>41</v>
      </c>
      <c r="G4" s="7" t="s">
        <v>42</v>
      </c>
      <c r="H4" s="7">
        <f t="shared" si="0"/>
        <v>2</v>
      </c>
    </row>
    <row r="5" spans="1:8" ht="25" customHeight="1" x14ac:dyDescent="0.35">
      <c r="A5" s="7" t="s">
        <v>43</v>
      </c>
      <c r="B5" s="7" t="s">
        <v>44</v>
      </c>
      <c r="C5" s="7" t="s">
        <v>4</v>
      </c>
      <c r="D5" s="7">
        <v>11</v>
      </c>
      <c r="E5" s="7" t="s">
        <v>5</v>
      </c>
      <c r="F5" s="7" t="s">
        <v>45</v>
      </c>
      <c r="G5" s="7" t="s">
        <v>46</v>
      </c>
      <c r="H5" s="7">
        <f t="shared" si="0"/>
        <v>1</v>
      </c>
    </row>
    <row r="6" spans="1:8" ht="25" customHeight="1" x14ac:dyDescent="0.35">
      <c r="A6" s="7" t="s">
        <v>47</v>
      </c>
      <c r="B6" s="7" t="s">
        <v>48</v>
      </c>
      <c r="C6" s="7" t="s">
        <v>4</v>
      </c>
      <c r="D6" s="7">
        <v>11</v>
      </c>
      <c r="E6" s="7" t="s">
        <v>5</v>
      </c>
      <c r="F6" s="7" t="s">
        <v>49</v>
      </c>
      <c r="G6" s="7" t="s">
        <v>50</v>
      </c>
      <c r="H6" s="7">
        <f t="shared" si="0"/>
        <v>1</v>
      </c>
    </row>
    <row r="7" spans="1:8" ht="25" customHeight="1" x14ac:dyDescent="0.35">
      <c r="A7" s="7" t="s">
        <v>51</v>
      </c>
      <c r="B7" s="7" t="s">
        <v>52</v>
      </c>
      <c r="C7" s="7" t="s">
        <v>53</v>
      </c>
      <c r="D7" s="7">
        <v>264</v>
      </c>
      <c r="E7" s="7" t="s">
        <v>5</v>
      </c>
      <c r="F7" s="7" t="s">
        <v>54</v>
      </c>
      <c r="G7" s="7" t="s">
        <v>55</v>
      </c>
      <c r="H7" s="7">
        <f t="shared" si="0"/>
        <v>24</v>
      </c>
    </row>
    <row r="8" spans="1:8" ht="25" customHeight="1" x14ac:dyDescent="0.35">
      <c r="A8" s="7" t="s">
        <v>56</v>
      </c>
      <c r="B8" s="7" t="s">
        <v>57</v>
      </c>
      <c r="C8" s="7" t="s">
        <v>53</v>
      </c>
      <c r="D8" s="7">
        <v>44</v>
      </c>
      <c r="E8" s="7" t="s">
        <v>5</v>
      </c>
      <c r="F8" s="7" t="s">
        <v>58</v>
      </c>
      <c r="G8" s="7" t="s">
        <v>59</v>
      </c>
      <c r="H8" s="7">
        <f t="shared" si="0"/>
        <v>4</v>
      </c>
    </row>
    <row r="9" spans="1:8" ht="25" customHeight="1" x14ac:dyDescent="0.35">
      <c r="A9" s="7" t="s">
        <v>60</v>
      </c>
      <c r="B9" s="7" t="s">
        <v>61</v>
      </c>
      <c r="C9" s="7" t="s">
        <v>53</v>
      </c>
      <c r="D9" s="7">
        <v>44</v>
      </c>
      <c r="E9" s="7" t="s">
        <v>5</v>
      </c>
      <c r="F9" s="7" t="s">
        <v>62</v>
      </c>
      <c r="G9" s="7" t="s">
        <v>63</v>
      </c>
      <c r="H9" s="7">
        <f t="shared" si="0"/>
        <v>4</v>
      </c>
    </row>
    <row r="10" spans="1:8" ht="25" customHeight="1" x14ac:dyDescent="0.35">
      <c r="A10" s="7" t="s">
        <v>64</v>
      </c>
      <c r="B10" s="7" t="s">
        <v>65</v>
      </c>
      <c r="C10" s="7" t="s">
        <v>4</v>
      </c>
      <c r="D10" s="7">
        <v>66</v>
      </c>
      <c r="E10" s="7" t="s">
        <v>5</v>
      </c>
      <c r="F10" s="7" t="s">
        <v>66</v>
      </c>
      <c r="G10" s="7" t="s">
        <v>67</v>
      </c>
      <c r="H10" s="7">
        <f t="shared" si="0"/>
        <v>6</v>
      </c>
    </row>
    <row r="11" spans="1:8" ht="25" customHeight="1" x14ac:dyDescent="0.35">
      <c r="A11" s="7" t="s">
        <v>68</v>
      </c>
      <c r="B11" s="7" t="s">
        <v>69</v>
      </c>
      <c r="C11" s="7" t="s">
        <v>4</v>
      </c>
      <c r="D11" s="7">
        <v>11</v>
      </c>
      <c r="E11" s="7" t="s">
        <v>5</v>
      </c>
      <c r="F11" s="7" t="s">
        <v>70</v>
      </c>
      <c r="G11" s="7" t="s">
        <v>71</v>
      </c>
      <c r="H11" s="7">
        <f t="shared" si="0"/>
        <v>1</v>
      </c>
    </row>
    <row r="12" spans="1:8" ht="25" customHeight="1" x14ac:dyDescent="0.35">
      <c r="A12" s="7" t="s">
        <v>72</v>
      </c>
      <c r="B12" s="7" t="s">
        <v>73</v>
      </c>
      <c r="C12" s="7" t="s">
        <v>4</v>
      </c>
      <c r="D12" s="7">
        <v>33</v>
      </c>
      <c r="E12" s="7" t="s">
        <v>5</v>
      </c>
      <c r="F12" s="7" t="s">
        <v>74</v>
      </c>
      <c r="G12" s="7" t="s">
        <v>75</v>
      </c>
      <c r="H12" s="7">
        <f t="shared" si="0"/>
        <v>3</v>
      </c>
    </row>
    <row r="13" spans="1:8" ht="25" customHeight="1" x14ac:dyDescent="0.35">
      <c r="A13" s="7" t="s">
        <v>76</v>
      </c>
      <c r="B13" s="7" t="s">
        <v>77</v>
      </c>
      <c r="C13" s="7" t="s">
        <v>53</v>
      </c>
      <c r="D13" s="7">
        <v>33</v>
      </c>
      <c r="E13" s="7" t="s">
        <v>5</v>
      </c>
      <c r="F13" s="7" t="s">
        <v>78</v>
      </c>
      <c r="G13" s="7" t="s">
        <v>79</v>
      </c>
      <c r="H13" s="7">
        <f t="shared" si="0"/>
        <v>3</v>
      </c>
    </row>
    <row r="14" spans="1:8" ht="25" customHeight="1" x14ac:dyDescent="0.35">
      <c r="A14" s="7" t="s">
        <v>80</v>
      </c>
      <c r="B14" s="7" t="s">
        <v>81</v>
      </c>
      <c r="C14" s="7" t="s">
        <v>53</v>
      </c>
      <c r="D14" s="7">
        <v>66</v>
      </c>
      <c r="E14" s="7" t="s">
        <v>5</v>
      </c>
      <c r="F14" s="7" t="s">
        <v>82</v>
      </c>
      <c r="G14" s="7" t="s">
        <v>83</v>
      </c>
      <c r="H14" s="7">
        <f t="shared" si="0"/>
        <v>6</v>
      </c>
    </row>
    <row r="15" spans="1:8" ht="25" customHeight="1" x14ac:dyDescent="0.35">
      <c r="A15" s="7" t="s">
        <v>84</v>
      </c>
      <c r="B15" s="7" t="s">
        <v>85</v>
      </c>
      <c r="C15" s="7" t="s">
        <v>53</v>
      </c>
      <c r="D15" s="7">
        <v>66</v>
      </c>
      <c r="E15" s="7" t="s">
        <v>5</v>
      </c>
      <c r="F15" s="7" t="s">
        <v>54</v>
      </c>
      <c r="G15" s="7" t="s">
        <v>86</v>
      </c>
      <c r="H15" s="7">
        <f t="shared" si="0"/>
        <v>6</v>
      </c>
    </row>
    <row r="16" spans="1:8" ht="25" customHeight="1" x14ac:dyDescent="0.35">
      <c r="A16" s="7" t="s">
        <v>87</v>
      </c>
      <c r="B16" s="7" t="s">
        <v>88</v>
      </c>
      <c r="C16" s="7" t="s">
        <v>4</v>
      </c>
      <c r="D16" s="7">
        <v>22</v>
      </c>
      <c r="E16" s="7" t="s">
        <v>5</v>
      </c>
      <c r="F16" s="7" t="s">
        <v>89</v>
      </c>
      <c r="G16" s="7" t="s">
        <v>90</v>
      </c>
      <c r="H16" s="7">
        <f t="shared" si="0"/>
        <v>2</v>
      </c>
    </row>
    <row r="17" spans="1:8" ht="25" customHeight="1" x14ac:dyDescent="0.35">
      <c r="A17" s="7" t="s">
        <v>91</v>
      </c>
      <c r="B17" s="7" t="s">
        <v>88</v>
      </c>
      <c r="C17" s="7" t="s">
        <v>4</v>
      </c>
      <c r="D17" s="7">
        <v>22</v>
      </c>
      <c r="E17" s="7" t="s">
        <v>5</v>
      </c>
      <c r="F17" s="7" t="s">
        <v>89</v>
      </c>
      <c r="G17" s="7" t="s">
        <v>90</v>
      </c>
      <c r="H17" s="7">
        <f t="shared" si="0"/>
        <v>2</v>
      </c>
    </row>
    <row r="18" spans="1:8" ht="25" customHeight="1" x14ac:dyDescent="0.35">
      <c r="A18" s="7" t="s">
        <v>92</v>
      </c>
      <c r="B18" s="7" t="s">
        <v>93</v>
      </c>
      <c r="C18" s="7" t="s">
        <v>4</v>
      </c>
      <c r="D18" s="7">
        <v>22</v>
      </c>
      <c r="E18" s="7" t="s">
        <v>5</v>
      </c>
      <c r="F18" s="7" t="s">
        <v>89</v>
      </c>
      <c r="G18" s="7" t="s">
        <v>90</v>
      </c>
      <c r="H18" s="7">
        <f t="shared" si="0"/>
        <v>2</v>
      </c>
    </row>
    <row r="19" spans="1:8" ht="25" customHeight="1" x14ac:dyDescent="0.35">
      <c r="A19" s="7" t="s">
        <v>94</v>
      </c>
      <c r="B19" s="7" t="s">
        <v>95</v>
      </c>
      <c r="C19" s="7" t="s">
        <v>53</v>
      </c>
      <c r="D19" s="7">
        <v>22</v>
      </c>
      <c r="E19" s="7" t="s">
        <v>5</v>
      </c>
      <c r="F19" s="7" t="s">
        <v>96</v>
      </c>
      <c r="G19" s="7" t="s">
        <v>97</v>
      </c>
      <c r="H19" s="7">
        <f t="shared" si="0"/>
        <v>2</v>
      </c>
    </row>
    <row r="20" spans="1:8" ht="25" customHeight="1" x14ac:dyDescent="0.35">
      <c r="A20" s="7" t="s">
        <v>98</v>
      </c>
      <c r="B20" s="7" t="s">
        <v>99</v>
      </c>
      <c r="C20" s="7" t="s">
        <v>53</v>
      </c>
      <c r="D20" s="7">
        <v>22</v>
      </c>
      <c r="E20" s="7" t="s">
        <v>5</v>
      </c>
      <c r="F20" s="7" t="s">
        <v>100</v>
      </c>
      <c r="G20" s="7" t="s">
        <v>101</v>
      </c>
      <c r="H20" s="7">
        <f t="shared" si="0"/>
        <v>2</v>
      </c>
    </row>
    <row r="21" spans="1:8" ht="25" customHeight="1" x14ac:dyDescent="0.35">
      <c r="A21" s="7" t="s">
        <v>102</v>
      </c>
      <c r="B21" s="7" t="s">
        <v>103</v>
      </c>
      <c r="C21" s="7" t="s">
        <v>4</v>
      </c>
      <c r="D21" s="7">
        <v>22</v>
      </c>
      <c r="E21" s="7" t="s">
        <v>5</v>
      </c>
      <c r="F21" s="7" t="s">
        <v>104</v>
      </c>
      <c r="G21" s="7" t="s">
        <v>105</v>
      </c>
      <c r="H21" s="7">
        <f t="shared" si="0"/>
        <v>2</v>
      </c>
    </row>
    <row r="22" spans="1:8" ht="25" customHeight="1" x14ac:dyDescent="0.35">
      <c r="A22" s="7" t="s">
        <v>106</v>
      </c>
      <c r="B22" s="7" t="s">
        <v>107</v>
      </c>
      <c r="C22" s="7" t="s">
        <v>4</v>
      </c>
      <c r="D22" s="7">
        <v>22</v>
      </c>
      <c r="E22" s="7" t="s">
        <v>5</v>
      </c>
      <c r="F22" s="7" t="s">
        <v>108</v>
      </c>
      <c r="G22" s="7" t="s">
        <v>109</v>
      </c>
      <c r="H22" s="7">
        <f t="shared" si="0"/>
        <v>2</v>
      </c>
    </row>
    <row r="23" spans="1:8" ht="25" customHeight="1" x14ac:dyDescent="0.35">
      <c r="A23" s="7" t="s">
        <v>110</v>
      </c>
      <c r="B23" s="7" t="s">
        <v>111</v>
      </c>
      <c r="C23" s="7" t="s">
        <v>4</v>
      </c>
      <c r="D23" s="7">
        <v>22</v>
      </c>
      <c r="E23" s="7" t="s">
        <v>5</v>
      </c>
      <c r="F23" s="7" t="s">
        <v>112</v>
      </c>
      <c r="G23" s="7" t="s">
        <v>113</v>
      </c>
      <c r="H23" s="7">
        <f t="shared" si="0"/>
        <v>2</v>
      </c>
    </row>
    <row r="24" spans="1:8" ht="25" customHeight="1" x14ac:dyDescent="0.35">
      <c r="A24" s="7" t="s">
        <v>114</v>
      </c>
      <c r="B24" s="7" t="s">
        <v>115</v>
      </c>
      <c r="C24" s="7" t="s">
        <v>4</v>
      </c>
      <c r="D24" s="7">
        <v>11</v>
      </c>
      <c r="E24" s="7" t="s">
        <v>5</v>
      </c>
      <c r="F24" s="7" t="s">
        <v>116</v>
      </c>
      <c r="G24" s="7" t="s">
        <v>117</v>
      </c>
      <c r="H24" s="7">
        <f t="shared" si="0"/>
        <v>1</v>
      </c>
    </row>
    <row r="25" spans="1:8" ht="25" customHeight="1" x14ac:dyDescent="0.35">
      <c r="A25" s="7" t="s">
        <v>118</v>
      </c>
      <c r="B25" s="7" t="s">
        <v>119</v>
      </c>
      <c r="C25" s="7" t="s">
        <v>4</v>
      </c>
      <c r="D25" s="7">
        <v>22</v>
      </c>
      <c r="E25" s="7" t="s">
        <v>5</v>
      </c>
      <c r="F25" s="7" t="s">
        <v>120</v>
      </c>
      <c r="G25" s="7" t="s">
        <v>121</v>
      </c>
      <c r="H25" s="7">
        <f t="shared" si="0"/>
        <v>2</v>
      </c>
    </row>
    <row r="26" spans="1:8" ht="25" customHeight="1" x14ac:dyDescent="0.35">
      <c r="A26" s="7" t="s">
        <v>122</v>
      </c>
      <c r="B26" s="7" t="s">
        <v>123</v>
      </c>
      <c r="C26" s="7" t="s">
        <v>4</v>
      </c>
      <c r="D26" s="7">
        <v>22</v>
      </c>
      <c r="E26" s="7" t="s">
        <v>5</v>
      </c>
      <c r="F26" s="7" t="s">
        <v>124</v>
      </c>
      <c r="G26" s="7" t="s">
        <v>125</v>
      </c>
      <c r="H26" s="7">
        <f t="shared" si="0"/>
        <v>2</v>
      </c>
    </row>
    <row r="27" spans="1:8" ht="25" customHeight="1" x14ac:dyDescent="0.35">
      <c r="A27" s="7" t="s">
        <v>126</v>
      </c>
      <c r="B27" s="7" t="s">
        <v>127</v>
      </c>
      <c r="C27" s="7" t="s">
        <v>4</v>
      </c>
      <c r="D27" s="7">
        <v>11</v>
      </c>
      <c r="E27" s="7" t="s">
        <v>5</v>
      </c>
      <c r="F27" s="7" t="s">
        <v>124</v>
      </c>
      <c r="G27" s="7" t="s">
        <v>128</v>
      </c>
      <c r="H27" s="7">
        <f t="shared" si="0"/>
        <v>1</v>
      </c>
    </row>
    <row r="28" spans="1:8" ht="25" customHeight="1" x14ac:dyDescent="0.35">
      <c r="A28" s="7" t="s">
        <v>129</v>
      </c>
      <c r="B28" s="7" t="s">
        <v>130</v>
      </c>
      <c r="C28" s="7" t="s">
        <v>4</v>
      </c>
      <c r="D28" s="7">
        <v>11</v>
      </c>
      <c r="E28" s="7" t="s">
        <v>5</v>
      </c>
      <c r="F28" s="7" t="s">
        <v>131</v>
      </c>
      <c r="G28" s="7" t="s">
        <v>132</v>
      </c>
      <c r="H28" s="7">
        <f t="shared" si="0"/>
        <v>1</v>
      </c>
    </row>
    <row r="29" spans="1:8" ht="25" customHeight="1" x14ac:dyDescent="0.35">
      <c r="A29" s="7" t="s">
        <v>133</v>
      </c>
      <c r="B29" s="7" t="s">
        <v>134</v>
      </c>
      <c r="C29" s="7" t="s">
        <v>4</v>
      </c>
      <c r="D29" s="7">
        <v>22</v>
      </c>
      <c r="E29" s="7" t="s">
        <v>5</v>
      </c>
      <c r="F29" s="7" t="s">
        <v>135</v>
      </c>
      <c r="G29" s="7" t="s">
        <v>136</v>
      </c>
      <c r="H29" s="7">
        <f t="shared" si="0"/>
        <v>2</v>
      </c>
    </row>
    <row r="30" spans="1:8" ht="25" customHeight="1" x14ac:dyDescent="0.35">
      <c r="A30" s="7" t="s">
        <v>137</v>
      </c>
      <c r="B30" s="7" t="s">
        <v>138</v>
      </c>
      <c r="C30" s="7" t="s">
        <v>4</v>
      </c>
      <c r="D30" s="7">
        <v>22</v>
      </c>
      <c r="E30" s="7" t="s">
        <v>5</v>
      </c>
      <c r="F30" s="7" t="s">
        <v>139</v>
      </c>
      <c r="G30" s="7" t="s">
        <v>140</v>
      </c>
      <c r="H30" s="7">
        <f t="shared" si="0"/>
        <v>2</v>
      </c>
    </row>
    <row r="31" spans="1:8" ht="25" customHeight="1" x14ac:dyDescent="0.35">
      <c r="A31" s="7" t="s">
        <v>141</v>
      </c>
      <c r="B31" s="7" t="s">
        <v>142</v>
      </c>
      <c r="C31" s="7" t="s">
        <v>4</v>
      </c>
      <c r="D31" s="7">
        <v>11</v>
      </c>
      <c r="E31" s="7" t="s">
        <v>5</v>
      </c>
      <c r="F31" s="7" t="s">
        <v>143</v>
      </c>
      <c r="G31" s="7" t="s">
        <v>144</v>
      </c>
      <c r="H31" s="7">
        <f t="shared" si="0"/>
        <v>1</v>
      </c>
    </row>
    <row r="32" spans="1:8" ht="25" customHeight="1" x14ac:dyDescent="0.35">
      <c r="A32" s="7" t="s">
        <v>145</v>
      </c>
      <c r="B32" s="7" t="s">
        <v>146</v>
      </c>
      <c r="C32" s="7" t="s">
        <v>4</v>
      </c>
      <c r="D32" s="7">
        <v>11</v>
      </c>
      <c r="E32" s="7" t="s">
        <v>5</v>
      </c>
      <c r="F32" s="7" t="s">
        <v>147</v>
      </c>
      <c r="G32" s="7" t="s">
        <v>148</v>
      </c>
      <c r="H32" s="7">
        <f t="shared" si="0"/>
        <v>1</v>
      </c>
    </row>
    <row r="33" spans="1:8" ht="25" customHeight="1" x14ac:dyDescent="0.35">
      <c r="A33" s="7" t="s">
        <v>149</v>
      </c>
      <c r="B33" s="7" t="s">
        <v>150</v>
      </c>
      <c r="C33" s="7" t="s">
        <v>4</v>
      </c>
      <c r="D33" s="7">
        <v>33</v>
      </c>
      <c r="E33" s="7" t="s">
        <v>5</v>
      </c>
      <c r="F33" s="7" t="s">
        <v>151</v>
      </c>
      <c r="G33" s="7" t="s">
        <v>152</v>
      </c>
      <c r="H33" s="7">
        <f t="shared" si="0"/>
        <v>3</v>
      </c>
    </row>
    <row r="34" spans="1:8" ht="25" customHeight="1" x14ac:dyDescent="0.35">
      <c r="A34" s="7" t="s">
        <v>153</v>
      </c>
      <c r="B34" s="7" t="s">
        <v>154</v>
      </c>
      <c r="C34" s="7" t="s">
        <v>4</v>
      </c>
      <c r="D34" s="7">
        <v>33</v>
      </c>
      <c r="E34" s="7" t="s">
        <v>5</v>
      </c>
      <c r="F34" s="7" t="s">
        <v>155</v>
      </c>
      <c r="G34" s="7" t="s">
        <v>156</v>
      </c>
      <c r="H34" s="7">
        <f t="shared" si="0"/>
        <v>3</v>
      </c>
    </row>
    <row r="35" spans="1:8" ht="25" customHeight="1" x14ac:dyDescent="0.35">
      <c r="A35" s="7" t="s">
        <v>157</v>
      </c>
      <c r="B35" s="7" t="s">
        <v>158</v>
      </c>
      <c r="C35" s="7" t="s">
        <v>4</v>
      </c>
      <c r="D35" s="7">
        <v>33</v>
      </c>
      <c r="E35" s="7" t="s">
        <v>5</v>
      </c>
      <c r="F35" s="7" t="s">
        <v>159</v>
      </c>
      <c r="G35" s="7" t="s">
        <v>160</v>
      </c>
      <c r="H35" s="7">
        <f t="shared" si="0"/>
        <v>3</v>
      </c>
    </row>
    <row r="36" spans="1:8" ht="25" customHeight="1" x14ac:dyDescent="0.35">
      <c r="A36" s="7" t="s">
        <v>161</v>
      </c>
      <c r="B36" s="7" t="s">
        <v>162</v>
      </c>
      <c r="C36" s="7" t="s">
        <v>4</v>
      </c>
      <c r="D36" s="7">
        <v>33</v>
      </c>
      <c r="E36" s="7" t="s">
        <v>5</v>
      </c>
      <c r="F36" s="7" t="s">
        <v>163</v>
      </c>
      <c r="G36" s="7" t="s">
        <v>164</v>
      </c>
      <c r="H36" s="7">
        <f t="shared" si="0"/>
        <v>3</v>
      </c>
    </row>
    <row r="37" spans="1:8" ht="25" customHeight="1" x14ac:dyDescent="0.35">
      <c r="A37" s="7" t="s">
        <v>165</v>
      </c>
      <c r="B37" s="7" t="s">
        <v>166</v>
      </c>
      <c r="C37" s="7" t="s">
        <v>4</v>
      </c>
      <c r="D37" s="7">
        <v>33</v>
      </c>
      <c r="E37" s="7" t="s">
        <v>5</v>
      </c>
      <c r="F37" s="7" t="s">
        <v>167</v>
      </c>
      <c r="G37" s="7" t="s">
        <v>168</v>
      </c>
      <c r="H37" s="7">
        <f t="shared" si="0"/>
        <v>3</v>
      </c>
    </row>
    <row r="38" spans="1:8" ht="25" customHeight="1" x14ac:dyDescent="0.35">
      <c r="A38" s="7" t="s">
        <v>161</v>
      </c>
      <c r="B38" s="7" t="s">
        <v>162</v>
      </c>
      <c r="C38" s="7" t="s">
        <v>4</v>
      </c>
      <c r="D38" s="7">
        <v>33</v>
      </c>
      <c r="E38" s="7" t="s">
        <v>5</v>
      </c>
      <c r="F38" s="7" t="s">
        <v>163</v>
      </c>
      <c r="G38" s="7" t="s">
        <v>164</v>
      </c>
      <c r="H38" s="7">
        <f t="shared" si="0"/>
        <v>3</v>
      </c>
    </row>
    <row r="39" spans="1:8" ht="25" customHeight="1" x14ac:dyDescent="0.35">
      <c r="A39" s="7" t="s">
        <v>169</v>
      </c>
      <c r="B39" s="7" t="s">
        <v>170</v>
      </c>
      <c r="C39" s="7" t="s">
        <v>4</v>
      </c>
      <c r="D39" s="7">
        <v>22</v>
      </c>
      <c r="E39" s="7" t="s">
        <v>5</v>
      </c>
      <c r="F39" s="7" t="s">
        <v>171</v>
      </c>
      <c r="G39" s="7" t="s">
        <v>172</v>
      </c>
      <c r="H39" s="7">
        <f t="shared" si="0"/>
        <v>2</v>
      </c>
    </row>
    <row r="40" spans="1:8" ht="25" customHeight="1" x14ac:dyDescent="0.35">
      <c r="A40" s="7" t="s">
        <v>173</v>
      </c>
      <c r="B40" s="7" t="s">
        <v>174</v>
      </c>
      <c r="C40" s="7" t="s">
        <v>4</v>
      </c>
      <c r="D40" s="7">
        <v>22</v>
      </c>
      <c r="E40" s="7" t="s">
        <v>5</v>
      </c>
      <c r="F40" s="7" t="s">
        <v>175</v>
      </c>
      <c r="G40" s="7" t="s">
        <v>176</v>
      </c>
      <c r="H40" s="7">
        <f t="shared" si="0"/>
        <v>2</v>
      </c>
    </row>
    <row r="41" spans="1:8" ht="25" customHeight="1" x14ac:dyDescent="0.35">
      <c r="A41" s="7" t="s">
        <v>177</v>
      </c>
      <c r="B41" s="7" t="s">
        <v>178</v>
      </c>
      <c r="C41" s="7" t="s">
        <v>4</v>
      </c>
      <c r="D41" s="7">
        <v>11</v>
      </c>
      <c r="E41" s="7" t="s">
        <v>5</v>
      </c>
      <c r="F41" s="7" t="s">
        <v>175</v>
      </c>
      <c r="G41" s="7" t="s">
        <v>179</v>
      </c>
      <c r="H41" s="7">
        <f t="shared" si="0"/>
        <v>1</v>
      </c>
    </row>
    <row r="42" spans="1:8" ht="25" customHeight="1" x14ac:dyDescent="0.35">
      <c r="A42" s="7" t="s">
        <v>180</v>
      </c>
      <c r="B42" s="7" t="s">
        <v>181</v>
      </c>
      <c r="C42" s="7" t="s">
        <v>4</v>
      </c>
      <c r="D42" s="7">
        <v>11</v>
      </c>
      <c r="E42" s="7" t="s">
        <v>5</v>
      </c>
      <c r="F42" s="7" t="s">
        <v>182</v>
      </c>
      <c r="G42" s="7" t="s">
        <v>183</v>
      </c>
      <c r="H42" s="7">
        <f t="shared" si="0"/>
        <v>1</v>
      </c>
    </row>
    <row r="43" spans="1:8" ht="25" customHeight="1" x14ac:dyDescent="0.35">
      <c r="A43" s="7" t="s">
        <v>184</v>
      </c>
      <c r="B43" s="7" t="s">
        <v>185</v>
      </c>
      <c r="C43" s="7" t="s">
        <v>4</v>
      </c>
      <c r="D43" s="7">
        <v>22</v>
      </c>
      <c r="E43" s="7" t="s">
        <v>5</v>
      </c>
      <c r="F43" s="7" t="s">
        <v>186</v>
      </c>
      <c r="G43" s="7" t="s">
        <v>187</v>
      </c>
      <c r="H43" s="7">
        <f t="shared" si="0"/>
        <v>2</v>
      </c>
    </row>
    <row r="44" spans="1:8" ht="25" customHeight="1" x14ac:dyDescent="0.35">
      <c r="A44" s="7" t="s">
        <v>188</v>
      </c>
      <c r="B44" s="7" t="s">
        <v>189</v>
      </c>
      <c r="C44" s="7" t="s">
        <v>53</v>
      </c>
      <c r="D44" s="7">
        <v>22</v>
      </c>
      <c r="E44" s="7" t="s">
        <v>5</v>
      </c>
      <c r="F44" s="7" t="s">
        <v>190</v>
      </c>
      <c r="G44" s="7" t="s">
        <v>191</v>
      </c>
      <c r="H44" s="7">
        <f t="shared" si="0"/>
        <v>2</v>
      </c>
    </row>
    <row r="45" spans="1:8" ht="25" customHeight="1" x14ac:dyDescent="0.35">
      <c r="A45" s="7" t="s">
        <v>192</v>
      </c>
      <c r="B45" s="7" t="s">
        <v>193</v>
      </c>
      <c r="C45" s="7" t="s">
        <v>4</v>
      </c>
      <c r="D45" s="7">
        <v>22</v>
      </c>
      <c r="E45" s="7" t="s">
        <v>5</v>
      </c>
      <c r="F45" s="7" t="s">
        <v>194</v>
      </c>
      <c r="G45" s="7" t="s">
        <v>195</v>
      </c>
      <c r="H45" s="7">
        <f t="shared" si="0"/>
        <v>2</v>
      </c>
    </row>
    <row r="46" spans="1:8" ht="25" customHeight="1" x14ac:dyDescent="0.35">
      <c r="A46" s="7" t="s">
        <v>196</v>
      </c>
      <c r="B46" s="7" t="s">
        <v>197</v>
      </c>
      <c r="C46" s="7" t="s">
        <v>53</v>
      </c>
      <c r="D46" s="7">
        <v>33</v>
      </c>
      <c r="E46" s="7" t="s">
        <v>5</v>
      </c>
      <c r="F46" s="7" t="s">
        <v>198</v>
      </c>
      <c r="G46" s="7" t="s">
        <v>199</v>
      </c>
      <c r="H46" s="7">
        <f t="shared" si="0"/>
        <v>3</v>
      </c>
    </row>
    <row r="47" spans="1:8" ht="25" customHeight="1" x14ac:dyDescent="0.35">
      <c r="A47" s="7" t="s">
        <v>200</v>
      </c>
      <c r="B47" s="7" t="s">
        <v>201</v>
      </c>
      <c r="C47" s="7" t="s">
        <v>4</v>
      </c>
      <c r="D47" s="7">
        <v>22</v>
      </c>
      <c r="E47" s="7" t="s">
        <v>5</v>
      </c>
      <c r="F47" s="7" t="s">
        <v>202</v>
      </c>
      <c r="G47" s="7" t="s">
        <v>203</v>
      </c>
      <c r="H47" s="7">
        <f t="shared" si="0"/>
        <v>2</v>
      </c>
    </row>
    <row r="48" spans="1:8" ht="25" customHeight="1" x14ac:dyDescent="0.35">
      <c r="A48" s="7" t="s">
        <v>204</v>
      </c>
      <c r="B48" s="7" t="s">
        <v>205</v>
      </c>
      <c r="C48" s="7" t="s">
        <v>53</v>
      </c>
      <c r="D48" s="7">
        <v>22</v>
      </c>
      <c r="E48" s="7" t="s">
        <v>5</v>
      </c>
      <c r="F48" s="7" t="s">
        <v>206</v>
      </c>
      <c r="G48" s="7" t="s">
        <v>207</v>
      </c>
      <c r="H48" s="7">
        <f t="shared" si="0"/>
        <v>2</v>
      </c>
    </row>
    <row r="49" spans="1:8" ht="25" customHeight="1" x14ac:dyDescent="0.35">
      <c r="A49" s="7" t="s">
        <v>208</v>
      </c>
      <c r="B49" s="7" t="s">
        <v>209</v>
      </c>
      <c r="C49" s="7" t="s">
        <v>4</v>
      </c>
      <c r="D49" s="7">
        <v>11</v>
      </c>
      <c r="E49" s="7" t="s">
        <v>5</v>
      </c>
      <c r="F49" s="7" t="s">
        <v>210</v>
      </c>
      <c r="G49" s="7" t="s">
        <v>211</v>
      </c>
      <c r="H49" s="7">
        <f t="shared" si="0"/>
        <v>1</v>
      </c>
    </row>
    <row r="50" spans="1:8" ht="25" customHeight="1" x14ac:dyDescent="0.35">
      <c r="A50" s="7" t="s">
        <v>212</v>
      </c>
      <c r="B50" s="7" t="s">
        <v>213</v>
      </c>
      <c r="C50" s="7" t="s">
        <v>53</v>
      </c>
      <c r="D50" s="7">
        <v>22</v>
      </c>
      <c r="E50" s="7" t="s">
        <v>5</v>
      </c>
      <c r="F50" s="7" t="s">
        <v>214</v>
      </c>
      <c r="G50" s="7" t="s">
        <v>215</v>
      </c>
      <c r="H50" s="7">
        <f t="shared" si="0"/>
        <v>2</v>
      </c>
    </row>
    <row r="51" spans="1:8" ht="25" customHeight="1" x14ac:dyDescent="0.35">
      <c r="A51" s="7" t="s">
        <v>216</v>
      </c>
      <c r="B51" s="7" t="s">
        <v>217</v>
      </c>
      <c r="C51" s="7" t="s">
        <v>53</v>
      </c>
      <c r="D51" s="7">
        <v>22</v>
      </c>
      <c r="E51" s="7" t="s">
        <v>5</v>
      </c>
      <c r="F51" s="7" t="s">
        <v>218</v>
      </c>
      <c r="G51" s="7" t="s">
        <v>219</v>
      </c>
      <c r="H51" s="7">
        <f t="shared" si="0"/>
        <v>2</v>
      </c>
    </row>
    <row r="52" spans="1:8" ht="25" customHeight="1" x14ac:dyDescent="0.35">
      <c r="A52" s="7" t="s">
        <v>220</v>
      </c>
      <c r="B52" s="7" t="s">
        <v>221</v>
      </c>
      <c r="C52" s="7" t="s">
        <v>53</v>
      </c>
      <c r="D52" s="7">
        <v>33</v>
      </c>
      <c r="E52" s="7" t="s">
        <v>5</v>
      </c>
      <c r="F52" s="7" t="s">
        <v>222</v>
      </c>
      <c r="G52" s="7" t="s">
        <v>223</v>
      </c>
      <c r="H52" s="7">
        <f t="shared" si="0"/>
        <v>3</v>
      </c>
    </row>
    <row r="53" spans="1:8" ht="25" customHeight="1" x14ac:dyDescent="0.35">
      <c r="A53" s="7" t="s">
        <v>224</v>
      </c>
      <c r="B53" s="7" t="s">
        <v>225</v>
      </c>
      <c r="C53" s="7" t="s">
        <v>4</v>
      </c>
      <c r="D53" s="7">
        <v>11</v>
      </c>
      <c r="E53" s="7" t="s">
        <v>5</v>
      </c>
      <c r="F53" s="7" t="s">
        <v>226</v>
      </c>
      <c r="G53" s="7" t="s">
        <v>227</v>
      </c>
      <c r="H53" s="7">
        <f t="shared" si="0"/>
        <v>1</v>
      </c>
    </row>
    <row r="54" spans="1:8" ht="25" customHeight="1" x14ac:dyDescent="0.35">
      <c r="A54" s="7" t="s">
        <v>228</v>
      </c>
      <c r="B54" s="7" t="s">
        <v>229</v>
      </c>
      <c r="C54" s="7" t="s">
        <v>4</v>
      </c>
      <c r="D54" s="7">
        <v>11</v>
      </c>
      <c r="E54" s="7" t="s">
        <v>5</v>
      </c>
      <c r="F54" s="7" t="s">
        <v>230</v>
      </c>
      <c r="G54" s="7" t="s">
        <v>231</v>
      </c>
      <c r="H54" s="7">
        <f t="shared" si="0"/>
        <v>1</v>
      </c>
    </row>
    <row r="55" spans="1:8" ht="25" customHeight="1" x14ac:dyDescent="0.35">
      <c r="A55" s="7" t="s">
        <v>232</v>
      </c>
      <c r="B55" s="7" t="s">
        <v>233</v>
      </c>
      <c r="C55" s="7" t="s">
        <v>4</v>
      </c>
      <c r="D55" s="7">
        <v>11</v>
      </c>
      <c r="E55" s="7" t="s">
        <v>5</v>
      </c>
      <c r="F55" s="7" t="s">
        <v>234</v>
      </c>
      <c r="G55" s="7" t="s">
        <v>235</v>
      </c>
      <c r="H55" s="7">
        <f t="shared" si="0"/>
        <v>1</v>
      </c>
    </row>
    <row r="56" spans="1:8" ht="25" customHeight="1" x14ac:dyDescent="0.35">
      <c r="A56" s="7" t="s">
        <v>236</v>
      </c>
      <c r="B56" s="7" t="s">
        <v>237</v>
      </c>
      <c r="C56" s="7" t="s">
        <v>4</v>
      </c>
      <c r="D56" s="7">
        <v>22</v>
      </c>
      <c r="E56" s="7" t="s">
        <v>5</v>
      </c>
      <c r="F56" s="7" t="s">
        <v>238</v>
      </c>
      <c r="G56" s="7" t="s">
        <v>239</v>
      </c>
      <c r="H56" s="7">
        <f t="shared" si="0"/>
        <v>2</v>
      </c>
    </row>
    <row r="57" spans="1:8" ht="25" customHeight="1" x14ac:dyDescent="0.35">
      <c r="A57" s="7" t="s">
        <v>240</v>
      </c>
      <c r="B57" s="7" t="s">
        <v>241</v>
      </c>
      <c r="C57" s="7" t="s">
        <v>4</v>
      </c>
      <c r="D57" s="7">
        <v>66</v>
      </c>
      <c r="E57" s="7" t="s">
        <v>5</v>
      </c>
      <c r="F57" s="7" t="s">
        <v>242</v>
      </c>
      <c r="G57" s="7" t="s">
        <v>243</v>
      </c>
      <c r="H57" s="7">
        <f t="shared" si="0"/>
        <v>6</v>
      </c>
    </row>
    <row r="58" spans="1:8" ht="25" customHeight="1" x14ac:dyDescent="0.35">
      <c r="A58" s="7" t="s">
        <v>244</v>
      </c>
      <c r="B58" s="7" t="s">
        <v>245</v>
      </c>
      <c r="C58" s="7" t="s">
        <v>4</v>
      </c>
      <c r="D58" s="7">
        <v>66</v>
      </c>
      <c r="E58" s="7" t="s">
        <v>5</v>
      </c>
      <c r="F58" s="7" t="s">
        <v>246</v>
      </c>
      <c r="G58" s="7" t="s">
        <v>247</v>
      </c>
      <c r="H58" s="7">
        <f t="shared" si="0"/>
        <v>6</v>
      </c>
    </row>
    <row r="59" spans="1:8" ht="25" customHeight="1" x14ac:dyDescent="0.35">
      <c r="A59" s="7" t="s">
        <v>248</v>
      </c>
      <c r="B59" s="7" t="s">
        <v>249</v>
      </c>
      <c r="C59" s="7" t="s">
        <v>4</v>
      </c>
      <c r="D59" s="7">
        <v>11</v>
      </c>
      <c r="E59" s="7" t="s">
        <v>5</v>
      </c>
      <c r="F59" s="7" t="s">
        <v>250</v>
      </c>
      <c r="G59" s="7" t="s">
        <v>251</v>
      </c>
      <c r="H59" s="7">
        <f t="shared" si="0"/>
        <v>1</v>
      </c>
    </row>
    <row r="60" spans="1:8" ht="25" customHeight="1" x14ac:dyDescent="0.35">
      <c r="A60" s="7" t="s">
        <v>252</v>
      </c>
      <c r="B60" s="7" t="s">
        <v>253</v>
      </c>
      <c r="C60" s="7" t="s">
        <v>4</v>
      </c>
      <c r="D60" s="7">
        <v>11</v>
      </c>
      <c r="E60" s="7" t="s">
        <v>5</v>
      </c>
      <c r="F60" s="7" t="s">
        <v>254</v>
      </c>
      <c r="G60" s="7" t="s">
        <v>255</v>
      </c>
      <c r="H60" s="7">
        <f t="shared" si="0"/>
        <v>1</v>
      </c>
    </row>
    <row r="61" spans="1:8" ht="25" customHeight="1" x14ac:dyDescent="0.35">
      <c r="A61" s="7" t="s">
        <v>256</v>
      </c>
      <c r="B61" s="7" t="s">
        <v>257</v>
      </c>
      <c r="C61" s="7" t="s">
        <v>4</v>
      </c>
      <c r="D61" s="7">
        <v>44</v>
      </c>
      <c r="E61" s="7" t="s">
        <v>5</v>
      </c>
      <c r="F61" s="7" t="s">
        <v>258</v>
      </c>
      <c r="G61" s="7" t="s">
        <v>259</v>
      </c>
      <c r="H61" s="7">
        <f t="shared" si="0"/>
        <v>4</v>
      </c>
    </row>
    <row r="62" spans="1:8" ht="25" customHeight="1" x14ac:dyDescent="0.35">
      <c r="A62" s="7" t="s">
        <v>260</v>
      </c>
      <c r="B62" s="7" t="s">
        <v>261</v>
      </c>
      <c r="C62" s="7" t="s">
        <v>4</v>
      </c>
      <c r="D62" s="7">
        <v>11</v>
      </c>
      <c r="E62" s="7" t="s">
        <v>5</v>
      </c>
      <c r="F62" s="7" t="s">
        <v>262</v>
      </c>
      <c r="G62" s="7" t="s">
        <v>263</v>
      </c>
      <c r="H62" s="7">
        <f t="shared" si="0"/>
        <v>1</v>
      </c>
    </row>
    <row r="63" spans="1:8" ht="25" customHeight="1" x14ac:dyDescent="0.35">
      <c r="A63" s="7" t="s">
        <v>264</v>
      </c>
      <c r="B63" s="7" t="s">
        <v>265</v>
      </c>
      <c r="C63" s="7" t="s">
        <v>4</v>
      </c>
      <c r="D63" s="7">
        <v>33</v>
      </c>
      <c r="E63" s="7" t="s">
        <v>5</v>
      </c>
      <c r="F63" s="7" t="s">
        <v>266</v>
      </c>
      <c r="G63" s="7" t="s">
        <v>267</v>
      </c>
      <c r="H63" s="7">
        <f t="shared" si="0"/>
        <v>3</v>
      </c>
    </row>
    <row r="64" spans="1:8" ht="25" customHeight="1" x14ac:dyDescent="0.35">
      <c r="A64" s="7" t="s">
        <v>268</v>
      </c>
      <c r="B64" s="7" t="s">
        <v>269</v>
      </c>
      <c r="C64" s="7" t="s">
        <v>4</v>
      </c>
      <c r="D64" s="7">
        <v>33</v>
      </c>
      <c r="E64" s="7" t="s">
        <v>5</v>
      </c>
      <c r="F64" s="7" t="s">
        <v>270</v>
      </c>
      <c r="G64" s="7" t="s">
        <v>271</v>
      </c>
      <c r="H64" s="7">
        <f t="shared" si="0"/>
        <v>3</v>
      </c>
    </row>
    <row r="65" spans="7:8" ht="15.5" x14ac:dyDescent="0.35">
      <c r="G65" s="10" t="s">
        <v>3496</v>
      </c>
      <c r="H65" s="7">
        <f>SUM(H2:H64)</f>
        <v>169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B483-C7D5-45E1-ACF0-0FADA704F49E}">
  <dimension ref="A1:H61"/>
  <sheetViews>
    <sheetView view="pageBreakPreview" topLeftCell="A49" zoomScale="85" zoomScaleNormal="85" zoomScaleSheetLayoutView="85" workbookViewId="0">
      <selection activeCell="H61" sqref="G61:H61"/>
    </sheetView>
  </sheetViews>
  <sheetFormatPr defaultColWidth="36.54296875" defaultRowHeight="16" x14ac:dyDescent="0.35"/>
  <cols>
    <col min="1" max="1" width="17" style="1" customWidth="1"/>
    <col min="2" max="2" width="45.26953125" style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12.54296875" style="1" bestFit="1" customWidth="1"/>
    <col min="8" max="8" width="8.363281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272</v>
      </c>
      <c r="C1" s="6" t="s">
        <v>3480</v>
      </c>
      <c r="D1" s="6" t="s">
        <v>3488</v>
      </c>
      <c r="E1" s="6" t="s">
        <v>3484</v>
      </c>
      <c r="F1" s="6" t="s">
        <v>3481</v>
      </c>
      <c r="G1" s="6" t="s">
        <v>3482</v>
      </c>
      <c r="H1" s="6" t="s">
        <v>3487</v>
      </c>
    </row>
    <row r="2" spans="1:8" ht="25" customHeight="1" x14ac:dyDescent="0.35">
      <c r="A2" s="7" t="s">
        <v>273</v>
      </c>
      <c r="B2" s="7" t="s">
        <v>274</v>
      </c>
      <c r="C2" s="7" t="s">
        <v>4</v>
      </c>
      <c r="D2" s="7">
        <v>1</v>
      </c>
      <c r="E2" s="7" t="s">
        <v>5</v>
      </c>
      <c r="F2" s="7" t="s">
        <v>275</v>
      </c>
      <c r="G2" s="7" t="s">
        <v>275</v>
      </c>
      <c r="H2" s="7">
        <f>D2/1</f>
        <v>1</v>
      </c>
    </row>
    <row r="3" spans="1:8" ht="25" customHeight="1" x14ac:dyDescent="0.35">
      <c r="A3" s="7" t="s">
        <v>276</v>
      </c>
      <c r="B3" s="7" t="s">
        <v>277</v>
      </c>
      <c r="C3" s="7" t="s">
        <v>4</v>
      </c>
      <c r="D3" s="7">
        <v>1</v>
      </c>
      <c r="E3" s="7" t="s">
        <v>5</v>
      </c>
      <c r="F3" s="7" t="s">
        <v>278</v>
      </c>
      <c r="G3" s="7" t="s">
        <v>278</v>
      </c>
      <c r="H3" s="7">
        <f t="shared" ref="H3:H60" si="0">D3/1</f>
        <v>1</v>
      </c>
    </row>
    <row r="4" spans="1:8" ht="25" customHeight="1" x14ac:dyDescent="0.35">
      <c r="A4" s="7" t="s">
        <v>279</v>
      </c>
      <c r="B4" s="7" t="s">
        <v>280</v>
      </c>
      <c r="C4" s="7" t="s">
        <v>4</v>
      </c>
      <c r="D4" s="7">
        <v>1</v>
      </c>
      <c r="E4" s="7" t="s">
        <v>5</v>
      </c>
      <c r="F4" s="7" t="s">
        <v>281</v>
      </c>
      <c r="G4" s="7" t="s">
        <v>281</v>
      </c>
      <c r="H4" s="7">
        <f t="shared" si="0"/>
        <v>1</v>
      </c>
    </row>
    <row r="5" spans="1:8" ht="25" customHeight="1" x14ac:dyDescent="0.35">
      <c r="A5" s="7" t="s">
        <v>282</v>
      </c>
      <c r="B5" s="7" t="s">
        <v>283</v>
      </c>
      <c r="C5" s="7" t="s">
        <v>4</v>
      </c>
      <c r="D5" s="7">
        <v>1</v>
      </c>
      <c r="E5" s="7" t="s">
        <v>5</v>
      </c>
      <c r="F5" s="7" t="s">
        <v>284</v>
      </c>
      <c r="G5" s="7" t="s">
        <v>284</v>
      </c>
      <c r="H5" s="7">
        <f t="shared" si="0"/>
        <v>1</v>
      </c>
    </row>
    <row r="6" spans="1:8" ht="25" customHeight="1" x14ac:dyDescent="0.35">
      <c r="A6" s="7" t="s">
        <v>285</v>
      </c>
      <c r="B6" s="7" t="s">
        <v>286</v>
      </c>
      <c r="C6" s="7" t="s">
        <v>4</v>
      </c>
      <c r="D6" s="7">
        <v>1</v>
      </c>
      <c r="E6" s="7" t="s">
        <v>5</v>
      </c>
      <c r="F6" s="7" t="s">
        <v>287</v>
      </c>
      <c r="G6" s="7" t="s">
        <v>287</v>
      </c>
      <c r="H6" s="7">
        <f t="shared" si="0"/>
        <v>1</v>
      </c>
    </row>
    <row r="7" spans="1:8" ht="25" customHeight="1" x14ac:dyDescent="0.35">
      <c r="A7" s="7" t="s">
        <v>288</v>
      </c>
      <c r="B7" s="7" t="s">
        <v>289</v>
      </c>
      <c r="C7" s="7" t="s">
        <v>4</v>
      </c>
      <c r="D7" s="7">
        <v>1</v>
      </c>
      <c r="E7" s="7" t="s">
        <v>5</v>
      </c>
      <c r="F7" s="7" t="s">
        <v>287</v>
      </c>
      <c r="G7" s="7" t="s">
        <v>287</v>
      </c>
      <c r="H7" s="7">
        <f t="shared" si="0"/>
        <v>1</v>
      </c>
    </row>
    <row r="8" spans="1:8" ht="25" customHeight="1" x14ac:dyDescent="0.35">
      <c r="A8" s="7" t="s">
        <v>290</v>
      </c>
      <c r="B8" s="7" t="s">
        <v>291</v>
      </c>
      <c r="C8" s="7" t="s">
        <v>4</v>
      </c>
      <c r="D8" s="7">
        <v>1</v>
      </c>
      <c r="E8" s="7" t="s">
        <v>5</v>
      </c>
      <c r="F8" s="7" t="s">
        <v>292</v>
      </c>
      <c r="G8" s="7" t="s">
        <v>292</v>
      </c>
      <c r="H8" s="7">
        <f t="shared" si="0"/>
        <v>1</v>
      </c>
    </row>
    <row r="9" spans="1:8" ht="25" customHeight="1" x14ac:dyDescent="0.35">
      <c r="A9" s="7" t="s">
        <v>293</v>
      </c>
      <c r="B9" s="7" t="s">
        <v>294</v>
      </c>
      <c r="C9" s="7" t="s">
        <v>4</v>
      </c>
      <c r="D9" s="7">
        <v>1</v>
      </c>
      <c r="E9" s="7" t="s">
        <v>5</v>
      </c>
      <c r="F9" s="7" t="s">
        <v>295</v>
      </c>
      <c r="G9" s="7" t="s">
        <v>295</v>
      </c>
      <c r="H9" s="7">
        <f t="shared" si="0"/>
        <v>1</v>
      </c>
    </row>
    <row r="10" spans="1:8" ht="25" customHeight="1" x14ac:dyDescent="0.35">
      <c r="A10" s="7" t="s">
        <v>296</v>
      </c>
      <c r="B10" s="7" t="s">
        <v>297</v>
      </c>
      <c r="C10" s="7" t="s">
        <v>4</v>
      </c>
      <c r="D10" s="7">
        <v>2</v>
      </c>
      <c r="E10" s="7" t="s">
        <v>5</v>
      </c>
      <c r="F10" s="7" t="s">
        <v>298</v>
      </c>
      <c r="G10" s="7" t="s">
        <v>299</v>
      </c>
      <c r="H10" s="7">
        <f t="shared" si="0"/>
        <v>2</v>
      </c>
    </row>
    <row r="11" spans="1:8" ht="25" customHeight="1" x14ac:dyDescent="0.35">
      <c r="A11" s="7" t="s">
        <v>300</v>
      </c>
      <c r="B11" s="7" t="s">
        <v>301</v>
      </c>
      <c r="C11" s="7" t="s">
        <v>4</v>
      </c>
      <c r="D11" s="7">
        <v>2</v>
      </c>
      <c r="E11" s="7" t="s">
        <v>5</v>
      </c>
      <c r="F11" s="7" t="s">
        <v>302</v>
      </c>
      <c r="G11" s="7" t="s">
        <v>303</v>
      </c>
      <c r="H11" s="7">
        <f t="shared" si="0"/>
        <v>2</v>
      </c>
    </row>
    <row r="12" spans="1:8" ht="25" customHeight="1" x14ac:dyDescent="0.35">
      <c r="A12" s="7" t="s">
        <v>304</v>
      </c>
      <c r="B12" s="7" t="s">
        <v>305</v>
      </c>
      <c r="C12" s="7" t="s">
        <v>4</v>
      </c>
      <c r="D12" s="7">
        <v>4</v>
      </c>
      <c r="E12" s="7" t="s">
        <v>5</v>
      </c>
      <c r="F12" s="7" t="s">
        <v>306</v>
      </c>
      <c r="G12" s="7" t="s">
        <v>307</v>
      </c>
      <c r="H12" s="7">
        <f t="shared" si="0"/>
        <v>4</v>
      </c>
    </row>
    <row r="13" spans="1:8" ht="25" customHeight="1" x14ac:dyDescent="0.35">
      <c r="A13" s="7" t="s">
        <v>308</v>
      </c>
      <c r="B13" s="7" t="s">
        <v>309</v>
      </c>
      <c r="C13" s="7" t="s">
        <v>4</v>
      </c>
      <c r="D13" s="7">
        <v>4</v>
      </c>
      <c r="E13" s="7" t="s">
        <v>5</v>
      </c>
      <c r="F13" s="7" t="s">
        <v>310</v>
      </c>
      <c r="G13" s="7" t="s">
        <v>311</v>
      </c>
      <c r="H13" s="7">
        <f t="shared" si="0"/>
        <v>4</v>
      </c>
    </row>
    <row r="14" spans="1:8" ht="25" customHeight="1" x14ac:dyDescent="0.35">
      <c r="A14" s="7" t="s">
        <v>312</v>
      </c>
      <c r="B14" s="7" t="s">
        <v>313</v>
      </c>
      <c r="C14" s="7" t="s">
        <v>4</v>
      </c>
      <c r="D14" s="7">
        <v>2</v>
      </c>
      <c r="E14" s="7" t="s">
        <v>5</v>
      </c>
      <c r="F14" s="7" t="s">
        <v>314</v>
      </c>
      <c r="G14" s="7" t="s">
        <v>315</v>
      </c>
      <c r="H14" s="7">
        <f t="shared" si="0"/>
        <v>2</v>
      </c>
    </row>
    <row r="15" spans="1:8" ht="25" customHeight="1" x14ac:dyDescent="0.35">
      <c r="A15" s="7" t="s">
        <v>316</v>
      </c>
      <c r="B15" s="7" t="s">
        <v>317</v>
      </c>
      <c r="C15" s="7" t="s">
        <v>4</v>
      </c>
      <c r="D15" s="7">
        <v>1</v>
      </c>
      <c r="E15" s="7" t="s">
        <v>5</v>
      </c>
      <c r="F15" s="7" t="s">
        <v>318</v>
      </c>
      <c r="G15" s="7" t="s">
        <v>318</v>
      </c>
      <c r="H15" s="7">
        <f t="shared" si="0"/>
        <v>1</v>
      </c>
    </row>
    <row r="16" spans="1:8" ht="25" customHeight="1" x14ac:dyDescent="0.35">
      <c r="A16" s="7" t="s">
        <v>319</v>
      </c>
      <c r="B16" s="7" t="s">
        <v>320</v>
      </c>
      <c r="C16" s="7" t="s">
        <v>4</v>
      </c>
      <c r="D16" s="7">
        <v>2</v>
      </c>
      <c r="E16" s="7" t="s">
        <v>5</v>
      </c>
      <c r="F16" s="7" t="s">
        <v>321</v>
      </c>
      <c r="G16" s="7" t="s">
        <v>322</v>
      </c>
      <c r="H16" s="7">
        <f t="shared" si="0"/>
        <v>2</v>
      </c>
    </row>
    <row r="17" spans="1:8" ht="25" customHeight="1" x14ac:dyDescent="0.35">
      <c r="A17" s="7" t="s">
        <v>323</v>
      </c>
      <c r="B17" s="7" t="s">
        <v>324</v>
      </c>
      <c r="C17" s="7" t="s">
        <v>4</v>
      </c>
      <c r="D17" s="7">
        <v>2</v>
      </c>
      <c r="E17" s="7" t="s">
        <v>5</v>
      </c>
      <c r="F17" s="7" t="s">
        <v>321</v>
      </c>
      <c r="G17" s="7" t="s">
        <v>322</v>
      </c>
      <c r="H17" s="7">
        <f t="shared" si="0"/>
        <v>2</v>
      </c>
    </row>
    <row r="18" spans="1:8" ht="25" customHeight="1" x14ac:dyDescent="0.35">
      <c r="A18" s="7" t="s">
        <v>325</v>
      </c>
      <c r="B18" s="7" t="s">
        <v>326</v>
      </c>
      <c r="C18" s="7" t="s">
        <v>4</v>
      </c>
      <c r="D18" s="7">
        <v>1</v>
      </c>
      <c r="E18" s="7" t="s">
        <v>5</v>
      </c>
      <c r="F18" s="7" t="s">
        <v>327</v>
      </c>
      <c r="G18" s="7" t="s">
        <v>327</v>
      </c>
      <c r="H18" s="7">
        <f t="shared" si="0"/>
        <v>1</v>
      </c>
    </row>
    <row r="19" spans="1:8" ht="25" customHeight="1" x14ac:dyDescent="0.35">
      <c r="A19" s="7" t="s">
        <v>328</v>
      </c>
      <c r="B19" s="7" t="s">
        <v>329</v>
      </c>
      <c r="C19" s="7" t="s">
        <v>4</v>
      </c>
      <c r="D19" s="7">
        <v>1</v>
      </c>
      <c r="E19" s="7" t="s">
        <v>5</v>
      </c>
      <c r="F19" s="7" t="s">
        <v>330</v>
      </c>
      <c r="G19" s="7" t="s">
        <v>330</v>
      </c>
      <c r="H19" s="7">
        <f t="shared" si="0"/>
        <v>1</v>
      </c>
    </row>
    <row r="20" spans="1:8" ht="25" customHeight="1" x14ac:dyDescent="0.35">
      <c r="A20" s="7" t="s">
        <v>331</v>
      </c>
      <c r="B20" s="7" t="s">
        <v>332</v>
      </c>
      <c r="C20" s="7" t="s">
        <v>4</v>
      </c>
      <c r="D20" s="7">
        <v>1</v>
      </c>
      <c r="E20" s="7" t="s">
        <v>5</v>
      </c>
      <c r="F20" s="7" t="s">
        <v>333</v>
      </c>
      <c r="G20" s="7" t="s">
        <v>333</v>
      </c>
      <c r="H20" s="7">
        <f t="shared" si="0"/>
        <v>1</v>
      </c>
    </row>
    <row r="21" spans="1:8" ht="25" customHeight="1" x14ac:dyDescent="0.35">
      <c r="A21" s="7" t="s">
        <v>334</v>
      </c>
      <c r="B21" s="7" t="s">
        <v>335</v>
      </c>
      <c r="C21" s="7" t="s">
        <v>4</v>
      </c>
      <c r="D21" s="7">
        <v>1</v>
      </c>
      <c r="E21" s="7" t="s">
        <v>5</v>
      </c>
      <c r="F21" s="7" t="s">
        <v>330</v>
      </c>
      <c r="G21" s="7" t="s">
        <v>330</v>
      </c>
      <c r="H21" s="7">
        <f t="shared" si="0"/>
        <v>1</v>
      </c>
    </row>
    <row r="22" spans="1:8" ht="25" customHeight="1" x14ac:dyDescent="0.35">
      <c r="A22" s="7" t="s">
        <v>336</v>
      </c>
      <c r="B22" s="7" t="s">
        <v>337</v>
      </c>
      <c r="C22" s="7" t="s">
        <v>4</v>
      </c>
      <c r="D22" s="7">
        <v>2</v>
      </c>
      <c r="E22" s="7" t="s">
        <v>5</v>
      </c>
      <c r="F22" s="7" t="s">
        <v>338</v>
      </c>
      <c r="G22" s="7" t="s">
        <v>339</v>
      </c>
      <c r="H22" s="7">
        <f t="shared" si="0"/>
        <v>2</v>
      </c>
    </row>
    <row r="23" spans="1:8" ht="25" customHeight="1" x14ac:dyDescent="0.35">
      <c r="A23" s="7" t="s">
        <v>177</v>
      </c>
      <c r="B23" s="7" t="s">
        <v>178</v>
      </c>
      <c r="C23" s="7" t="s">
        <v>4</v>
      </c>
      <c r="D23" s="7">
        <v>1</v>
      </c>
      <c r="E23" s="7" t="s">
        <v>5</v>
      </c>
      <c r="F23" s="7" t="s">
        <v>340</v>
      </c>
      <c r="G23" s="7" t="s">
        <v>340</v>
      </c>
      <c r="H23" s="7">
        <f t="shared" si="0"/>
        <v>1</v>
      </c>
    </row>
    <row r="24" spans="1:8" ht="25" customHeight="1" x14ac:dyDescent="0.35">
      <c r="A24" s="7" t="s">
        <v>323</v>
      </c>
      <c r="B24" s="7" t="s">
        <v>324</v>
      </c>
      <c r="C24" s="7" t="s">
        <v>4</v>
      </c>
      <c r="D24" s="7">
        <v>2</v>
      </c>
      <c r="E24" s="7" t="s">
        <v>5</v>
      </c>
      <c r="F24" s="7" t="s">
        <v>321</v>
      </c>
      <c r="G24" s="7" t="s">
        <v>322</v>
      </c>
      <c r="H24" s="7">
        <f t="shared" si="0"/>
        <v>2</v>
      </c>
    </row>
    <row r="25" spans="1:8" ht="25" customHeight="1" x14ac:dyDescent="0.35">
      <c r="A25" s="7" t="s">
        <v>341</v>
      </c>
      <c r="B25" s="7" t="s">
        <v>342</v>
      </c>
      <c r="C25" s="7" t="s">
        <v>4</v>
      </c>
      <c r="D25" s="7">
        <v>2</v>
      </c>
      <c r="E25" s="7" t="s">
        <v>5</v>
      </c>
      <c r="F25" s="7" t="s">
        <v>343</v>
      </c>
      <c r="G25" s="7" t="s">
        <v>344</v>
      </c>
      <c r="H25" s="7">
        <f t="shared" si="0"/>
        <v>2</v>
      </c>
    </row>
    <row r="26" spans="1:8" ht="25" customHeight="1" x14ac:dyDescent="0.35">
      <c r="A26" s="7" t="s">
        <v>345</v>
      </c>
      <c r="B26" s="7" t="s">
        <v>346</v>
      </c>
      <c r="C26" s="7" t="s">
        <v>4</v>
      </c>
      <c r="D26" s="7">
        <v>1</v>
      </c>
      <c r="E26" s="7" t="s">
        <v>5</v>
      </c>
      <c r="F26" s="7" t="s">
        <v>347</v>
      </c>
      <c r="G26" s="7" t="s">
        <v>347</v>
      </c>
      <c r="H26" s="7">
        <f t="shared" si="0"/>
        <v>1</v>
      </c>
    </row>
    <row r="27" spans="1:8" ht="25" customHeight="1" x14ac:dyDescent="0.35">
      <c r="A27" s="7" t="s">
        <v>204</v>
      </c>
      <c r="B27" s="7" t="s">
        <v>205</v>
      </c>
      <c r="C27" s="7" t="s">
        <v>53</v>
      </c>
      <c r="D27" s="7">
        <v>1</v>
      </c>
      <c r="E27" s="7" t="s">
        <v>5</v>
      </c>
      <c r="F27" s="7" t="s">
        <v>348</v>
      </c>
      <c r="G27" s="7" t="s">
        <v>348</v>
      </c>
      <c r="H27" s="7">
        <f t="shared" si="0"/>
        <v>1</v>
      </c>
    </row>
    <row r="28" spans="1:8" ht="25" customHeight="1" x14ac:dyDescent="0.35">
      <c r="A28" s="7" t="s">
        <v>349</v>
      </c>
      <c r="B28" s="7" t="s">
        <v>350</v>
      </c>
      <c r="C28" s="7" t="s">
        <v>4</v>
      </c>
      <c r="D28" s="7">
        <v>2</v>
      </c>
      <c r="E28" s="7" t="s">
        <v>5</v>
      </c>
      <c r="F28" s="7" t="s">
        <v>351</v>
      </c>
      <c r="G28" s="7" t="s">
        <v>352</v>
      </c>
      <c r="H28" s="7">
        <f t="shared" si="0"/>
        <v>2</v>
      </c>
    </row>
    <row r="29" spans="1:8" ht="25" customHeight="1" x14ac:dyDescent="0.35">
      <c r="A29" s="7" t="s">
        <v>353</v>
      </c>
      <c r="B29" s="7" t="s">
        <v>354</v>
      </c>
      <c r="C29" s="7" t="s">
        <v>4</v>
      </c>
      <c r="D29" s="7">
        <v>1</v>
      </c>
      <c r="E29" s="7" t="s">
        <v>5</v>
      </c>
      <c r="F29" s="7" t="s">
        <v>355</v>
      </c>
      <c r="G29" s="7" t="s">
        <v>355</v>
      </c>
      <c r="H29" s="7">
        <f t="shared" si="0"/>
        <v>1</v>
      </c>
    </row>
    <row r="30" spans="1:8" ht="25" customHeight="1" x14ac:dyDescent="0.35">
      <c r="A30" s="7" t="s">
        <v>356</v>
      </c>
      <c r="B30" s="7" t="s">
        <v>357</v>
      </c>
      <c r="C30" s="7" t="s">
        <v>4</v>
      </c>
      <c r="D30" s="7">
        <v>1</v>
      </c>
      <c r="E30" s="7" t="s">
        <v>5</v>
      </c>
      <c r="F30" s="7" t="s">
        <v>358</v>
      </c>
      <c r="G30" s="7" t="s">
        <v>358</v>
      </c>
      <c r="H30" s="7">
        <f t="shared" si="0"/>
        <v>1</v>
      </c>
    </row>
    <row r="31" spans="1:8" ht="25" customHeight="1" x14ac:dyDescent="0.35">
      <c r="A31" s="7" t="s">
        <v>359</v>
      </c>
      <c r="B31" s="7" t="s">
        <v>360</v>
      </c>
      <c r="C31" s="7" t="s">
        <v>4</v>
      </c>
      <c r="D31" s="7">
        <v>1</v>
      </c>
      <c r="E31" s="7" t="s">
        <v>5</v>
      </c>
      <c r="F31" s="7" t="s">
        <v>361</v>
      </c>
      <c r="G31" s="7" t="s">
        <v>361</v>
      </c>
      <c r="H31" s="7">
        <f t="shared" si="0"/>
        <v>1</v>
      </c>
    </row>
    <row r="32" spans="1:8" ht="25" customHeight="1" x14ac:dyDescent="0.35">
      <c r="A32" s="7" t="s">
        <v>362</v>
      </c>
      <c r="B32" s="7" t="s">
        <v>363</v>
      </c>
      <c r="C32" s="7" t="s">
        <v>4</v>
      </c>
      <c r="D32" s="7">
        <v>1</v>
      </c>
      <c r="E32" s="7" t="s">
        <v>5</v>
      </c>
      <c r="F32" s="7" t="s">
        <v>364</v>
      </c>
      <c r="G32" s="7" t="s">
        <v>364</v>
      </c>
      <c r="H32" s="7">
        <f t="shared" si="0"/>
        <v>1</v>
      </c>
    </row>
    <row r="33" spans="1:8" ht="25" customHeight="1" x14ac:dyDescent="0.35">
      <c r="A33" s="7" t="s">
        <v>365</v>
      </c>
      <c r="B33" s="7" t="s">
        <v>366</v>
      </c>
      <c r="C33" s="7" t="s">
        <v>4</v>
      </c>
      <c r="D33" s="7">
        <v>1</v>
      </c>
      <c r="E33" s="7" t="s">
        <v>5</v>
      </c>
      <c r="F33" s="7" t="s">
        <v>367</v>
      </c>
      <c r="G33" s="7" t="s">
        <v>367</v>
      </c>
      <c r="H33" s="7">
        <f t="shared" si="0"/>
        <v>1</v>
      </c>
    </row>
    <row r="34" spans="1:8" ht="25" customHeight="1" x14ac:dyDescent="0.35">
      <c r="A34" s="7" t="s">
        <v>368</v>
      </c>
      <c r="B34" s="7" t="s">
        <v>369</v>
      </c>
      <c r="C34" s="7" t="s">
        <v>4</v>
      </c>
      <c r="D34" s="7">
        <v>2</v>
      </c>
      <c r="E34" s="7" t="s">
        <v>5</v>
      </c>
      <c r="F34" s="7" t="s">
        <v>284</v>
      </c>
      <c r="G34" s="7" t="s">
        <v>370</v>
      </c>
      <c r="H34" s="7">
        <f t="shared" si="0"/>
        <v>2</v>
      </c>
    </row>
    <row r="35" spans="1:8" ht="25" customHeight="1" x14ac:dyDescent="0.35">
      <c r="A35" s="7" t="s">
        <v>371</v>
      </c>
      <c r="B35" s="7" t="s">
        <v>372</v>
      </c>
      <c r="C35" s="7" t="s">
        <v>4</v>
      </c>
      <c r="D35" s="7">
        <v>1</v>
      </c>
      <c r="E35" s="7" t="s">
        <v>5</v>
      </c>
      <c r="F35" s="7" t="s">
        <v>373</v>
      </c>
      <c r="G35" s="7" t="s">
        <v>373</v>
      </c>
      <c r="H35" s="7">
        <f t="shared" si="0"/>
        <v>1</v>
      </c>
    </row>
    <row r="36" spans="1:8" ht="25" customHeight="1" x14ac:dyDescent="0.35">
      <c r="A36" s="7" t="s">
        <v>374</v>
      </c>
      <c r="B36" s="7" t="s">
        <v>375</v>
      </c>
      <c r="C36" s="7" t="s">
        <v>4</v>
      </c>
      <c r="D36" s="7">
        <v>1</v>
      </c>
      <c r="E36" s="7" t="s">
        <v>5</v>
      </c>
      <c r="F36" s="7" t="s">
        <v>376</v>
      </c>
      <c r="G36" s="7" t="s">
        <v>376</v>
      </c>
      <c r="H36" s="7">
        <f t="shared" si="0"/>
        <v>1</v>
      </c>
    </row>
    <row r="37" spans="1:8" ht="25" customHeight="1" x14ac:dyDescent="0.35">
      <c r="A37" s="7" t="s">
        <v>377</v>
      </c>
      <c r="B37" s="7" t="s">
        <v>378</v>
      </c>
      <c r="C37" s="7" t="s">
        <v>4</v>
      </c>
      <c r="D37" s="7">
        <v>1</v>
      </c>
      <c r="E37" s="7" t="s">
        <v>5</v>
      </c>
      <c r="F37" s="7" t="s">
        <v>379</v>
      </c>
      <c r="G37" s="7" t="s">
        <v>379</v>
      </c>
      <c r="H37" s="7">
        <f t="shared" si="0"/>
        <v>1</v>
      </c>
    </row>
    <row r="38" spans="1:8" ht="25" customHeight="1" x14ac:dyDescent="0.35">
      <c r="A38" s="7" t="s">
        <v>380</v>
      </c>
      <c r="B38" s="7" t="s">
        <v>381</v>
      </c>
      <c r="C38" s="7" t="s">
        <v>53</v>
      </c>
      <c r="D38" s="7">
        <v>1</v>
      </c>
      <c r="E38" s="7" t="s">
        <v>5</v>
      </c>
      <c r="F38" s="7" t="s">
        <v>382</v>
      </c>
      <c r="G38" s="7" t="s">
        <v>382</v>
      </c>
      <c r="H38" s="7">
        <f t="shared" si="0"/>
        <v>1</v>
      </c>
    </row>
    <row r="39" spans="1:8" ht="25" customHeight="1" x14ac:dyDescent="0.35">
      <c r="A39" s="7" t="s">
        <v>383</v>
      </c>
      <c r="B39" s="7" t="s">
        <v>384</v>
      </c>
      <c r="C39" s="7" t="s">
        <v>4</v>
      </c>
      <c r="D39" s="7">
        <v>1</v>
      </c>
      <c r="E39" s="7" t="s">
        <v>5</v>
      </c>
      <c r="F39" s="7" t="s">
        <v>385</v>
      </c>
      <c r="G39" s="7" t="s">
        <v>385</v>
      </c>
      <c r="H39" s="7">
        <f t="shared" si="0"/>
        <v>1</v>
      </c>
    </row>
    <row r="40" spans="1:8" ht="25" customHeight="1" x14ac:dyDescent="0.35">
      <c r="A40" s="7" t="s">
        <v>386</v>
      </c>
      <c r="B40" s="7" t="s">
        <v>387</v>
      </c>
      <c r="C40" s="7" t="s">
        <v>4</v>
      </c>
      <c r="D40" s="7">
        <v>1</v>
      </c>
      <c r="E40" s="7" t="s">
        <v>5</v>
      </c>
      <c r="F40" s="7" t="s">
        <v>388</v>
      </c>
      <c r="G40" s="7" t="s">
        <v>388</v>
      </c>
      <c r="H40" s="7">
        <f t="shared" si="0"/>
        <v>1</v>
      </c>
    </row>
    <row r="41" spans="1:8" ht="25" customHeight="1" x14ac:dyDescent="0.35">
      <c r="A41" s="7" t="s">
        <v>264</v>
      </c>
      <c r="B41" s="7" t="s">
        <v>265</v>
      </c>
      <c r="C41" s="7" t="s">
        <v>4</v>
      </c>
      <c r="D41" s="7">
        <v>1</v>
      </c>
      <c r="E41" s="7" t="s">
        <v>5</v>
      </c>
      <c r="F41" s="7" t="s">
        <v>389</v>
      </c>
      <c r="G41" s="7" t="s">
        <v>389</v>
      </c>
      <c r="H41" s="7">
        <f t="shared" si="0"/>
        <v>1</v>
      </c>
    </row>
    <row r="42" spans="1:8" ht="25" customHeight="1" x14ac:dyDescent="0.35">
      <c r="A42" s="7" t="s">
        <v>268</v>
      </c>
      <c r="B42" s="7" t="s">
        <v>269</v>
      </c>
      <c r="C42" s="7" t="s">
        <v>4</v>
      </c>
      <c r="D42" s="7">
        <v>1</v>
      </c>
      <c r="E42" s="7" t="s">
        <v>5</v>
      </c>
      <c r="F42" s="7" t="s">
        <v>390</v>
      </c>
      <c r="G42" s="7" t="s">
        <v>390</v>
      </c>
      <c r="H42" s="7">
        <f t="shared" si="0"/>
        <v>1</v>
      </c>
    </row>
    <row r="43" spans="1:8" ht="49" customHeight="1" x14ac:dyDescent="0.35">
      <c r="A43" s="8" t="s">
        <v>1467</v>
      </c>
      <c r="B43" s="8" t="s">
        <v>3490</v>
      </c>
      <c r="C43" s="7" t="s">
        <v>4</v>
      </c>
      <c r="D43" s="7">
        <v>66</v>
      </c>
      <c r="E43" s="7" t="s">
        <v>1454</v>
      </c>
      <c r="F43" s="7" t="s">
        <v>1465</v>
      </c>
      <c r="G43" s="7" t="s">
        <v>1466</v>
      </c>
      <c r="H43" s="7">
        <f t="shared" si="0"/>
        <v>66</v>
      </c>
    </row>
    <row r="44" spans="1:8" ht="49" customHeight="1" x14ac:dyDescent="0.35">
      <c r="A44" s="8" t="s">
        <v>1468</v>
      </c>
      <c r="B44" s="8" t="s">
        <v>1469</v>
      </c>
      <c r="C44" s="7" t="s">
        <v>4</v>
      </c>
      <c r="D44" s="7">
        <v>66</v>
      </c>
      <c r="E44" s="7" t="s">
        <v>1454</v>
      </c>
      <c r="F44" s="7" t="s">
        <v>1470</v>
      </c>
      <c r="G44" s="7" t="s">
        <v>1471</v>
      </c>
      <c r="H44" s="7">
        <f t="shared" si="0"/>
        <v>66</v>
      </c>
    </row>
    <row r="45" spans="1:8" ht="52" customHeight="1" x14ac:dyDescent="0.35">
      <c r="A45" s="8" t="s">
        <v>1472</v>
      </c>
      <c r="B45" s="8" t="s">
        <v>3491</v>
      </c>
      <c r="C45" s="7" t="s">
        <v>4</v>
      </c>
      <c r="D45" s="7">
        <v>66</v>
      </c>
      <c r="E45" s="7" t="s">
        <v>1454</v>
      </c>
      <c r="F45" s="7" t="s">
        <v>1470</v>
      </c>
      <c r="G45" s="7" t="s">
        <v>1471</v>
      </c>
      <c r="H45" s="7">
        <f t="shared" si="0"/>
        <v>66</v>
      </c>
    </row>
    <row r="46" spans="1:8" ht="51.5" customHeight="1" x14ac:dyDescent="0.35">
      <c r="A46" s="8" t="s">
        <v>1473</v>
      </c>
      <c r="B46" s="8" t="s">
        <v>1474</v>
      </c>
      <c r="C46" s="7" t="s">
        <v>4</v>
      </c>
      <c r="D46" s="7">
        <v>33</v>
      </c>
      <c r="E46" s="7" t="s">
        <v>5</v>
      </c>
      <c r="F46" s="7" t="s">
        <v>717</v>
      </c>
      <c r="G46" s="7" t="s">
        <v>1475</v>
      </c>
      <c r="H46" s="7">
        <f t="shared" si="0"/>
        <v>33</v>
      </c>
    </row>
    <row r="47" spans="1:8" ht="25" customHeight="1" x14ac:dyDescent="0.35">
      <c r="A47" s="7" t="s">
        <v>1476</v>
      </c>
      <c r="B47" s="7" t="s">
        <v>1477</v>
      </c>
      <c r="C47" s="7" t="s">
        <v>4</v>
      </c>
      <c r="D47" s="7">
        <v>33</v>
      </c>
      <c r="E47" s="7" t="s">
        <v>5</v>
      </c>
      <c r="F47" s="7" t="s">
        <v>1478</v>
      </c>
      <c r="G47" s="7" t="s">
        <v>1479</v>
      </c>
      <c r="H47" s="7">
        <f t="shared" si="0"/>
        <v>33</v>
      </c>
    </row>
    <row r="48" spans="1:8" ht="25" customHeight="1" x14ac:dyDescent="0.35">
      <c r="A48" s="7" t="s">
        <v>1480</v>
      </c>
      <c r="B48" s="7" t="s">
        <v>1481</v>
      </c>
      <c r="C48" s="7" t="s">
        <v>4</v>
      </c>
      <c r="D48" s="7">
        <v>33</v>
      </c>
      <c r="E48" s="7" t="s">
        <v>5</v>
      </c>
      <c r="F48" s="7" t="s">
        <v>1482</v>
      </c>
      <c r="G48" s="7" t="s">
        <v>1483</v>
      </c>
      <c r="H48" s="7">
        <f t="shared" si="0"/>
        <v>33</v>
      </c>
    </row>
    <row r="49" spans="1:8" ht="25" customHeight="1" x14ac:dyDescent="0.35">
      <c r="A49" s="7" t="s">
        <v>1484</v>
      </c>
      <c r="B49" s="7" t="s">
        <v>1485</v>
      </c>
      <c r="C49" s="7" t="s">
        <v>4</v>
      </c>
      <c r="D49" s="7">
        <v>33</v>
      </c>
      <c r="E49" s="7" t="s">
        <v>5</v>
      </c>
      <c r="F49" s="7" t="s">
        <v>1486</v>
      </c>
      <c r="G49" s="7" t="s">
        <v>1487</v>
      </c>
      <c r="H49" s="7">
        <f t="shared" si="0"/>
        <v>33</v>
      </c>
    </row>
    <row r="50" spans="1:8" ht="25" customHeight="1" x14ac:dyDescent="0.35">
      <c r="A50" s="7" t="s">
        <v>1488</v>
      </c>
      <c r="B50" s="7" t="s">
        <v>1489</v>
      </c>
      <c r="C50" s="7" t="s">
        <v>4</v>
      </c>
      <c r="D50" s="7">
        <v>33</v>
      </c>
      <c r="E50" s="7" t="s">
        <v>5</v>
      </c>
      <c r="F50" s="7" t="s">
        <v>1490</v>
      </c>
      <c r="G50" s="7" t="s">
        <v>1491</v>
      </c>
      <c r="H50" s="7">
        <f t="shared" si="0"/>
        <v>33</v>
      </c>
    </row>
    <row r="51" spans="1:8" ht="25" customHeight="1" x14ac:dyDescent="0.35">
      <c r="A51" s="7" t="s">
        <v>1492</v>
      </c>
      <c r="B51" s="7" t="s">
        <v>1493</v>
      </c>
      <c r="C51" s="7" t="s">
        <v>4</v>
      </c>
      <c r="D51" s="7">
        <v>33</v>
      </c>
      <c r="E51" s="7" t="s">
        <v>5</v>
      </c>
      <c r="F51" s="7" t="s">
        <v>1494</v>
      </c>
      <c r="G51" s="7" t="s">
        <v>1495</v>
      </c>
      <c r="H51" s="7">
        <f t="shared" si="0"/>
        <v>33</v>
      </c>
    </row>
    <row r="52" spans="1:8" ht="25" customHeight="1" x14ac:dyDescent="0.35">
      <c r="A52" s="7" t="s">
        <v>1496</v>
      </c>
      <c r="B52" s="7" t="s">
        <v>1497</v>
      </c>
      <c r="C52" s="7" t="s">
        <v>4</v>
      </c>
      <c r="D52" s="7">
        <v>33</v>
      </c>
      <c r="E52" s="7" t="s">
        <v>5</v>
      </c>
      <c r="F52" s="7" t="s">
        <v>1498</v>
      </c>
      <c r="G52" s="7" t="s">
        <v>1499</v>
      </c>
      <c r="H52" s="7">
        <f t="shared" si="0"/>
        <v>33</v>
      </c>
    </row>
    <row r="53" spans="1:8" ht="25" customHeight="1" x14ac:dyDescent="0.35">
      <c r="A53" s="7" t="s">
        <v>1500</v>
      </c>
      <c r="B53" s="7" t="s">
        <v>1501</v>
      </c>
      <c r="C53" s="7" t="s">
        <v>4</v>
      </c>
      <c r="D53" s="7">
        <v>33</v>
      </c>
      <c r="E53" s="7" t="s">
        <v>5</v>
      </c>
      <c r="F53" s="7" t="s">
        <v>1502</v>
      </c>
      <c r="G53" s="7" t="s">
        <v>1503</v>
      </c>
      <c r="H53" s="7">
        <f t="shared" si="0"/>
        <v>33</v>
      </c>
    </row>
    <row r="54" spans="1:8" ht="25" customHeight="1" x14ac:dyDescent="0.35">
      <c r="A54" s="7" t="s">
        <v>1504</v>
      </c>
      <c r="B54" s="7" t="s">
        <v>1505</v>
      </c>
      <c r="C54" s="7" t="s">
        <v>4</v>
      </c>
      <c r="D54" s="7">
        <v>33</v>
      </c>
      <c r="E54" s="7" t="s">
        <v>5</v>
      </c>
      <c r="F54" s="7" t="s">
        <v>1506</v>
      </c>
      <c r="G54" s="7" t="s">
        <v>1507</v>
      </c>
      <c r="H54" s="7">
        <f t="shared" si="0"/>
        <v>33</v>
      </c>
    </row>
    <row r="55" spans="1:8" ht="25" customHeight="1" x14ac:dyDescent="0.35">
      <c r="A55" s="7" t="s">
        <v>1508</v>
      </c>
      <c r="B55" s="7" t="s">
        <v>1509</v>
      </c>
      <c r="C55" s="7" t="s">
        <v>4</v>
      </c>
      <c r="D55" s="7">
        <v>33</v>
      </c>
      <c r="E55" s="7" t="s">
        <v>5</v>
      </c>
      <c r="F55" s="7" t="s">
        <v>1510</v>
      </c>
      <c r="G55" s="7" t="s">
        <v>1511</v>
      </c>
      <c r="H55" s="7">
        <f t="shared" si="0"/>
        <v>33</v>
      </c>
    </row>
    <row r="56" spans="1:8" ht="25" customHeight="1" x14ac:dyDescent="0.35">
      <c r="A56" s="7" t="s">
        <v>1512</v>
      </c>
      <c r="B56" s="7" t="s">
        <v>1513</v>
      </c>
      <c r="C56" s="7" t="s">
        <v>4</v>
      </c>
      <c r="D56" s="7">
        <v>33</v>
      </c>
      <c r="E56" s="7" t="s">
        <v>5</v>
      </c>
      <c r="F56" s="7" t="s">
        <v>1514</v>
      </c>
      <c r="G56" s="7" t="s">
        <v>1515</v>
      </c>
      <c r="H56" s="7">
        <f t="shared" si="0"/>
        <v>33</v>
      </c>
    </row>
    <row r="57" spans="1:8" ht="25" customHeight="1" x14ac:dyDescent="0.35">
      <c r="A57" s="7" t="s">
        <v>1516</v>
      </c>
      <c r="B57" s="7" t="s">
        <v>1517</v>
      </c>
      <c r="C57" s="7" t="s">
        <v>4</v>
      </c>
      <c r="D57" s="7">
        <v>33</v>
      </c>
      <c r="E57" s="7" t="s">
        <v>5</v>
      </c>
      <c r="F57" s="7" t="s">
        <v>1518</v>
      </c>
      <c r="G57" s="7" t="s">
        <v>1519</v>
      </c>
      <c r="H57" s="7">
        <f t="shared" si="0"/>
        <v>33</v>
      </c>
    </row>
    <row r="58" spans="1:8" ht="25" customHeight="1" x14ac:dyDescent="0.35">
      <c r="A58" s="7" t="s">
        <v>1520</v>
      </c>
      <c r="B58" s="7" t="s">
        <v>1521</v>
      </c>
      <c r="C58" s="7" t="s">
        <v>4</v>
      </c>
      <c r="D58" s="7">
        <v>33</v>
      </c>
      <c r="E58" s="7" t="s">
        <v>5</v>
      </c>
      <c r="F58" s="7" t="s">
        <v>1522</v>
      </c>
      <c r="G58" s="7" t="s">
        <v>1523</v>
      </c>
      <c r="H58" s="7">
        <f t="shared" si="0"/>
        <v>33</v>
      </c>
    </row>
    <row r="59" spans="1:8" ht="25" customHeight="1" x14ac:dyDescent="0.35">
      <c r="A59" s="7" t="s">
        <v>1524</v>
      </c>
      <c r="B59" s="7" t="s">
        <v>1525</v>
      </c>
      <c r="C59" s="7" t="s">
        <v>4</v>
      </c>
      <c r="D59" s="7">
        <v>33</v>
      </c>
      <c r="E59" s="7" t="s">
        <v>5</v>
      </c>
      <c r="F59" s="7" t="s">
        <v>1526</v>
      </c>
      <c r="G59" s="7" t="s">
        <v>1527</v>
      </c>
      <c r="H59" s="7">
        <f t="shared" si="0"/>
        <v>33</v>
      </c>
    </row>
    <row r="60" spans="1:8" ht="25" customHeight="1" x14ac:dyDescent="0.35">
      <c r="A60" s="7" t="s">
        <v>1528</v>
      </c>
      <c r="B60" s="7" t="s">
        <v>1529</v>
      </c>
      <c r="C60" s="7" t="s">
        <v>4</v>
      </c>
      <c r="D60" s="7">
        <v>33</v>
      </c>
      <c r="E60" s="7" t="s">
        <v>5</v>
      </c>
      <c r="F60" s="7" t="s">
        <v>1530</v>
      </c>
      <c r="G60" s="7" t="s">
        <v>1531</v>
      </c>
      <c r="H60" s="7">
        <f t="shared" si="0"/>
        <v>33</v>
      </c>
    </row>
    <row r="61" spans="1:8" x14ac:dyDescent="0.35">
      <c r="G61" s="2" t="s">
        <v>3496</v>
      </c>
      <c r="H61" s="2">
        <f>SUM(H2:H60)</f>
        <v>750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2F2E-1F8C-4B73-B6E8-2EA50BF1144D}">
  <dimension ref="A1:H48"/>
  <sheetViews>
    <sheetView view="pageBreakPreview" topLeftCell="A36" zoomScale="85" zoomScaleNormal="85" zoomScaleSheetLayoutView="85" workbookViewId="0">
      <selection activeCell="H48" sqref="G48:H48"/>
    </sheetView>
  </sheetViews>
  <sheetFormatPr defaultColWidth="36.54296875" defaultRowHeight="16" x14ac:dyDescent="0.35"/>
  <cols>
    <col min="1" max="1" width="15.08984375" style="1" customWidth="1"/>
    <col min="2" max="2" width="43.36328125" style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12.54296875" style="1" bestFit="1" customWidth="1"/>
    <col min="8" max="8" width="8.363281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391</v>
      </c>
      <c r="C1" s="6" t="s">
        <v>3480</v>
      </c>
      <c r="D1" s="6" t="s">
        <v>3488</v>
      </c>
      <c r="E1" s="6" t="s">
        <v>3484</v>
      </c>
      <c r="F1" s="6" t="s">
        <v>3481</v>
      </c>
      <c r="G1" s="6" t="s">
        <v>3482</v>
      </c>
      <c r="H1" s="6" t="s">
        <v>3487</v>
      </c>
    </row>
    <row r="2" spans="1:8" ht="25" customHeight="1" x14ac:dyDescent="0.35">
      <c r="A2" s="7" t="s">
        <v>392</v>
      </c>
      <c r="B2" s="7" t="s">
        <v>393</v>
      </c>
      <c r="C2" s="7" t="s">
        <v>4</v>
      </c>
      <c r="D2" s="7">
        <v>5</v>
      </c>
      <c r="E2" s="7" t="s">
        <v>5</v>
      </c>
      <c r="F2" s="7" t="s">
        <v>394</v>
      </c>
      <c r="G2" s="7" t="s">
        <v>395</v>
      </c>
      <c r="H2" s="7">
        <f>D2/5</f>
        <v>1</v>
      </c>
    </row>
    <row r="3" spans="1:8" ht="25" customHeight="1" x14ac:dyDescent="0.35">
      <c r="A3" s="7" t="s">
        <v>396</v>
      </c>
      <c r="B3" s="7" t="s">
        <v>397</v>
      </c>
      <c r="C3" s="7" t="s">
        <v>4</v>
      </c>
      <c r="D3" s="7">
        <v>5</v>
      </c>
      <c r="E3" s="7" t="s">
        <v>5</v>
      </c>
      <c r="F3" s="7" t="s">
        <v>398</v>
      </c>
      <c r="G3" s="7" t="s">
        <v>399</v>
      </c>
      <c r="H3" s="7">
        <f t="shared" ref="H3:H47" si="0">D3/5</f>
        <v>1</v>
      </c>
    </row>
    <row r="4" spans="1:8" ht="25" customHeight="1" x14ac:dyDescent="0.35">
      <c r="A4" s="7" t="s">
        <v>165</v>
      </c>
      <c r="B4" s="7" t="s">
        <v>166</v>
      </c>
      <c r="C4" s="7" t="s">
        <v>4</v>
      </c>
      <c r="D4" s="7">
        <v>5</v>
      </c>
      <c r="E4" s="7" t="s">
        <v>5</v>
      </c>
      <c r="F4" s="7" t="s">
        <v>400</v>
      </c>
      <c r="G4" s="7" t="s">
        <v>401</v>
      </c>
      <c r="H4" s="7">
        <f t="shared" si="0"/>
        <v>1</v>
      </c>
    </row>
    <row r="5" spans="1:8" ht="25" customHeight="1" x14ac:dyDescent="0.35">
      <c r="A5" s="7" t="s">
        <v>402</v>
      </c>
      <c r="B5" s="7" t="s">
        <v>403</v>
      </c>
      <c r="C5" s="7" t="s">
        <v>4</v>
      </c>
      <c r="D5" s="7">
        <v>5</v>
      </c>
      <c r="E5" s="7" t="s">
        <v>5</v>
      </c>
      <c r="F5" s="7" t="s">
        <v>404</v>
      </c>
      <c r="G5" s="7" t="s">
        <v>405</v>
      </c>
      <c r="H5" s="7">
        <f t="shared" si="0"/>
        <v>1</v>
      </c>
    </row>
    <row r="6" spans="1:8" ht="25" customHeight="1" x14ac:dyDescent="0.35">
      <c r="A6" s="7" t="s">
        <v>153</v>
      </c>
      <c r="B6" s="7" t="s">
        <v>154</v>
      </c>
      <c r="C6" s="7" t="s">
        <v>4</v>
      </c>
      <c r="D6" s="7">
        <v>5</v>
      </c>
      <c r="E6" s="7" t="s">
        <v>5</v>
      </c>
      <c r="F6" s="7" t="s">
        <v>406</v>
      </c>
      <c r="G6" s="7" t="s">
        <v>407</v>
      </c>
      <c r="H6" s="7">
        <f t="shared" si="0"/>
        <v>1</v>
      </c>
    </row>
    <row r="7" spans="1:8" ht="25" customHeight="1" x14ac:dyDescent="0.35">
      <c r="A7" s="7" t="s">
        <v>408</v>
      </c>
      <c r="B7" s="7" t="s">
        <v>409</v>
      </c>
      <c r="C7" s="7" t="s">
        <v>4</v>
      </c>
      <c r="D7" s="7">
        <v>5</v>
      </c>
      <c r="E7" s="7" t="s">
        <v>5</v>
      </c>
      <c r="F7" s="7" t="s">
        <v>410</v>
      </c>
      <c r="G7" s="7" t="s">
        <v>411</v>
      </c>
      <c r="H7" s="7">
        <f t="shared" si="0"/>
        <v>1</v>
      </c>
    </row>
    <row r="8" spans="1:8" ht="25" customHeight="1" x14ac:dyDescent="0.35">
      <c r="A8" s="7" t="s">
        <v>177</v>
      </c>
      <c r="B8" s="7" t="s">
        <v>178</v>
      </c>
      <c r="C8" s="7" t="s">
        <v>4</v>
      </c>
      <c r="D8" s="7">
        <v>5</v>
      </c>
      <c r="E8" s="7" t="s">
        <v>5</v>
      </c>
      <c r="F8" s="7" t="s">
        <v>412</v>
      </c>
      <c r="G8" s="7" t="s">
        <v>413</v>
      </c>
      <c r="H8" s="7">
        <f t="shared" si="0"/>
        <v>1</v>
      </c>
    </row>
    <row r="9" spans="1:8" ht="25" customHeight="1" x14ac:dyDescent="0.35">
      <c r="A9" s="7" t="s">
        <v>414</v>
      </c>
      <c r="B9" s="7" t="s">
        <v>415</v>
      </c>
      <c r="C9" s="7" t="s">
        <v>4</v>
      </c>
      <c r="D9" s="7">
        <v>5</v>
      </c>
      <c r="E9" s="7" t="s">
        <v>5</v>
      </c>
      <c r="F9" s="7" t="s">
        <v>412</v>
      </c>
      <c r="G9" s="7" t="s">
        <v>413</v>
      </c>
      <c r="H9" s="7">
        <f t="shared" si="0"/>
        <v>1</v>
      </c>
    </row>
    <row r="10" spans="1:8" ht="25" customHeight="1" x14ac:dyDescent="0.35">
      <c r="A10" s="7" t="s">
        <v>416</v>
      </c>
      <c r="B10" s="7" t="s">
        <v>417</v>
      </c>
      <c r="C10" s="7" t="s">
        <v>53</v>
      </c>
      <c r="D10" s="7">
        <v>5</v>
      </c>
      <c r="E10" s="7" t="s">
        <v>5</v>
      </c>
      <c r="F10" s="7" t="s">
        <v>418</v>
      </c>
      <c r="G10" s="7" t="s">
        <v>419</v>
      </c>
      <c r="H10" s="7">
        <f t="shared" si="0"/>
        <v>1</v>
      </c>
    </row>
    <row r="11" spans="1:8" ht="25" customHeight="1" x14ac:dyDescent="0.35">
      <c r="A11" s="7" t="s">
        <v>420</v>
      </c>
      <c r="B11" s="7" t="s">
        <v>421</v>
      </c>
      <c r="C11" s="7" t="s">
        <v>53</v>
      </c>
      <c r="D11" s="7">
        <v>5</v>
      </c>
      <c r="E11" s="7" t="s">
        <v>5</v>
      </c>
      <c r="F11" s="7" t="s">
        <v>422</v>
      </c>
      <c r="G11" s="7" t="s">
        <v>423</v>
      </c>
      <c r="H11" s="7">
        <f t="shared" si="0"/>
        <v>1</v>
      </c>
    </row>
    <row r="12" spans="1:8" ht="25" customHeight="1" x14ac:dyDescent="0.35">
      <c r="A12" s="7" t="s">
        <v>424</v>
      </c>
      <c r="B12" s="7" t="s">
        <v>425</v>
      </c>
      <c r="C12" s="7" t="s">
        <v>4</v>
      </c>
      <c r="D12" s="7">
        <v>5</v>
      </c>
      <c r="E12" s="7" t="s">
        <v>5</v>
      </c>
      <c r="F12" s="7" t="s">
        <v>426</v>
      </c>
      <c r="G12" s="7" t="s">
        <v>427</v>
      </c>
      <c r="H12" s="7">
        <f t="shared" si="0"/>
        <v>1</v>
      </c>
    </row>
    <row r="13" spans="1:8" ht="25" customHeight="1" x14ac:dyDescent="0.35">
      <c r="A13" s="7" t="s">
        <v>428</v>
      </c>
      <c r="B13" s="7" t="s">
        <v>429</v>
      </c>
      <c r="C13" s="7" t="s">
        <v>53</v>
      </c>
      <c r="D13" s="7">
        <v>30</v>
      </c>
      <c r="E13" s="7" t="s">
        <v>5</v>
      </c>
      <c r="F13" s="7" t="s">
        <v>430</v>
      </c>
      <c r="G13" s="7" t="s">
        <v>431</v>
      </c>
      <c r="H13" s="7">
        <f t="shared" si="0"/>
        <v>6</v>
      </c>
    </row>
    <row r="14" spans="1:8" ht="25" customHeight="1" x14ac:dyDescent="0.35">
      <c r="A14" s="7" t="s">
        <v>432</v>
      </c>
      <c r="B14" s="7" t="s">
        <v>433</v>
      </c>
      <c r="C14" s="7" t="s">
        <v>4</v>
      </c>
      <c r="D14" s="7">
        <v>5</v>
      </c>
      <c r="E14" s="7" t="s">
        <v>5</v>
      </c>
      <c r="F14" s="7" t="s">
        <v>434</v>
      </c>
      <c r="G14" s="7" t="s">
        <v>435</v>
      </c>
      <c r="H14" s="7">
        <f t="shared" si="0"/>
        <v>1</v>
      </c>
    </row>
    <row r="15" spans="1:8" ht="25" customHeight="1" x14ac:dyDescent="0.35">
      <c r="A15" s="7" t="s">
        <v>436</v>
      </c>
      <c r="B15" s="7" t="s">
        <v>437</v>
      </c>
      <c r="C15" s="7" t="s">
        <v>4</v>
      </c>
      <c r="D15" s="7">
        <v>5</v>
      </c>
      <c r="E15" s="7" t="s">
        <v>5</v>
      </c>
      <c r="F15" s="7" t="s">
        <v>434</v>
      </c>
      <c r="G15" s="7" t="s">
        <v>435</v>
      </c>
      <c r="H15" s="7">
        <f t="shared" si="0"/>
        <v>1</v>
      </c>
    </row>
    <row r="16" spans="1:8" ht="25" customHeight="1" x14ac:dyDescent="0.35">
      <c r="A16" s="7" t="s">
        <v>438</v>
      </c>
      <c r="B16" s="7" t="s">
        <v>439</v>
      </c>
      <c r="C16" s="7" t="s">
        <v>4</v>
      </c>
      <c r="D16" s="7">
        <v>10</v>
      </c>
      <c r="E16" s="7" t="s">
        <v>5</v>
      </c>
      <c r="F16" s="7" t="s">
        <v>440</v>
      </c>
      <c r="G16" s="7" t="s">
        <v>441</v>
      </c>
      <c r="H16" s="7">
        <f t="shared" si="0"/>
        <v>2</v>
      </c>
    </row>
    <row r="17" spans="1:8" ht="25" customHeight="1" x14ac:dyDescent="0.35">
      <c r="A17" s="7" t="s">
        <v>442</v>
      </c>
      <c r="B17" s="7" t="s">
        <v>443</v>
      </c>
      <c r="C17" s="7" t="s">
        <v>53</v>
      </c>
      <c r="D17" s="7">
        <v>10</v>
      </c>
      <c r="E17" s="7" t="s">
        <v>5</v>
      </c>
      <c r="F17" s="7" t="s">
        <v>444</v>
      </c>
      <c r="G17" s="7" t="s">
        <v>445</v>
      </c>
      <c r="H17" s="7">
        <f t="shared" si="0"/>
        <v>2</v>
      </c>
    </row>
    <row r="18" spans="1:8" ht="25" customHeight="1" x14ac:dyDescent="0.35">
      <c r="A18" s="7" t="s">
        <v>446</v>
      </c>
      <c r="B18" s="7" t="s">
        <v>447</v>
      </c>
      <c r="C18" s="7" t="s">
        <v>4</v>
      </c>
      <c r="D18" s="7">
        <v>5</v>
      </c>
      <c r="E18" s="7" t="s">
        <v>5</v>
      </c>
      <c r="F18" s="7" t="s">
        <v>448</v>
      </c>
      <c r="G18" s="7" t="s">
        <v>449</v>
      </c>
      <c r="H18" s="7">
        <f t="shared" si="0"/>
        <v>1</v>
      </c>
    </row>
    <row r="19" spans="1:8" ht="25" customHeight="1" x14ac:dyDescent="0.35">
      <c r="A19" s="7" t="s">
        <v>450</v>
      </c>
      <c r="B19" s="7" t="s">
        <v>451</v>
      </c>
      <c r="C19" s="7" t="s">
        <v>4</v>
      </c>
      <c r="D19" s="7">
        <v>10</v>
      </c>
      <c r="E19" s="7" t="s">
        <v>5</v>
      </c>
      <c r="F19" s="7" t="s">
        <v>452</v>
      </c>
      <c r="G19" s="7" t="s">
        <v>453</v>
      </c>
      <c r="H19" s="7">
        <f t="shared" si="0"/>
        <v>2</v>
      </c>
    </row>
    <row r="20" spans="1:8" ht="25" customHeight="1" x14ac:dyDescent="0.35">
      <c r="A20" s="7" t="s">
        <v>98</v>
      </c>
      <c r="B20" s="7" t="s">
        <v>99</v>
      </c>
      <c r="C20" s="7" t="s">
        <v>53</v>
      </c>
      <c r="D20" s="7">
        <v>10</v>
      </c>
      <c r="E20" s="7" t="s">
        <v>5</v>
      </c>
      <c r="F20" s="7" t="s">
        <v>454</v>
      </c>
      <c r="G20" s="7" t="s">
        <v>455</v>
      </c>
      <c r="H20" s="7">
        <f t="shared" si="0"/>
        <v>2</v>
      </c>
    </row>
    <row r="21" spans="1:8" ht="25" customHeight="1" x14ac:dyDescent="0.35">
      <c r="A21" s="7" t="s">
        <v>94</v>
      </c>
      <c r="B21" s="7" t="s">
        <v>95</v>
      </c>
      <c r="C21" s="7" t="s">
        <v>53</v>
      </c>
      <c r="D21" s="7">
        <v>10</v>
      </c>
      <c r="E21" s="7" t="s">
        <v>5</v>
      </c>
      <c r="F21" s="7" t="s">
        <v>456</v>
      </c>
      <c r="G21" s="7" t="s">
        <v>457</v>
      </c>
      <c r="H21" s="7">
        <f t="shared" si="0"/>
        <v>2</v>
      </c>
    </row>
    <row r="22" spans="1:8" ht="25" customHeight="1" x14ac:dyDescent="0.35">
      <c r="A22" s="7" t="s">
        <v>458</v>
      </c>
      <c r="B22" s="7" t="s">
        <v>459</v>
      </c>
      <c r="C22" s="7" t="s">
        <v>4</v>
      </c>
      <c r="D22" s="7">
        <v>5</v>
      </c>
      <c r="E22" s="7" t="s">
        <v>5</v>
      </c>
      <c r="F22" s="7" t="s">
        <v>460</v>
      </c>
      <c r="G22" s="7" t="s">
        <v>461</v>
      </c>
      <c r="H22" s="7">
        <f t="shared" si="0"/>
        <v>1</v>
      </c>
    </row>
    <row r="23" spans="1:8" ht="25" customHeight="1" x14ac:dyDescent="0.35">
      <c r="A23" s="7" t="s">
        <v>462</v>
      </c>
      <c r="B23" s="7" t="s">
        <v>463</v>
      </c>
      <c r="C23" s="7" t="s">
        <v>4</v>
      </c>
      <c r="D23" s="7">
        <v>5</v>
      </c>
      <c r="E23" s="7" t="s">
        <v>5</v>
      </c>
      <c r="F23" s="7" t="s">
        <v>464</v>
      </c>
      <c r="G23" s="7" t="s">
        <v>465</v>
      </c>
      <c r="H23" s="7">
        <f t="shared" si="0"/>
        <v>1</v>
      </c>
    </row>
    <row r="24" spans="1:8" ht="25" customHeight="1" x14ac:dyDescent="0.35">
      <c r="A24" s="7" t="s">
        <v>466</v>
      </c>
      <c r="B24" s="7" t="s">
        <v>467</v>
      </c>
      <c r="C24" s="7" t="s">
        <v>4</v>
      </c>
      <c r="D24" s="7">
        <v>5</v>
      </c>
      <c r="E24" s="7" t="s">
        <v>5</v>
      </c>
      <c r="F24" s="7" t="s">
        <v>468</v>
      </c>
      <c r="G24" s="7" t="s">
        <v>469</v>
      </c>
      <c r="H24" s="7">
        <f t="shared" si="0"/>
        <v>1</v>
      </c>
    </row>
    <row r="25" spans="1:8" ht="25" customHeight="1" x14ac:dyDescent="0.35">
      <c r="A25" s="7" t="s">
        <v>470</v>
      </c>
      <c r="B25" s="7" t="s">
        <v>471</v>
      </c>
      <c r="C25" s="7" t="s">
        <v>4</v>
      </c>
      <c r="D25" s="7">
        <v>5</v>
      </c>
      <c r="E25" s="7" t="s">
        <v>5</v>
      </c>
      <c r="F25" s="7" t="s">
        <v>472</v>
      </c>
      <c r="G25" s="7" t="s">
        <v>473</v>
      </c>
      <c r="H25" s="7">
        <f t="shared" si="0"/>
        <v>1</v>
      </c>
    </row>
    <row r="26" spans="1:8" ht="25" customHeight="1" x14ac:dyDescent="0.35">
      <c r="A26" s="7" t="s">
        <v>474</v>
      </c>
      <c r="B26" s="7" t="s">
        <v>475</v>
      </c>
      <c r="C26" s="7" t="s">
        <v>4</v>
      </c>
      <c r="D26" s="7">
        <v>5</v>
      </c>
      <c r="E26" s="7" t="s">
        <v>5</v>
      </c>
      <c r="F26" s="7" t="s">
        <v>476</v>
      </c>
      <c r="G26" s="7" t="s">
        <v>477</v>
      </c>
      <c r="H26" s="7">
        <f t="shared" si="0"/>
        <v>1</v>
      </c>
    </row>
    <row r="27" spans="1:8" ht="25" customHeight="1" x14ac:dyDescent="0.35">
      <c r="A27" s="7" t="s">
        <v>478</v>
      </c>
      <c r="B27" s="7" t="s">
        <v>479</v>
      </c>
      <c r="C27" s="7" t="s">
        <v>4</v>
      </c>
      <c r="D27" s="7">
        <v>5</v>
      </c>
      <c r="E27" s="7" t="s">
        <v>5</v>
      </c>
      <c r="F27" s="7" t="s">
        <v>480</v>
      </c>
      <c r="G27" s="7" t="s">
        <v>481</v>
      </c>
      <c r="H27" s="7">
        <f t="shared" si="0"/>
        <v>1</v>
      </c>
    </row>
    <row r="28" spans="1:8" ht="25" customHeight="1" x14ac:dyDescent="0.35">
      <c r="A28" s="7" t="s">
        <v>482</v>
      </c>
      <c r="B28" s="7" t="s">
        <v>483</v>
      </c>
      <c r="C28" s="7" t="s">
        <v>4</v>
      </c>
      <c r="D28" s="7">
        <v>5</v>
      </c>
      <c r="E28" s="7" t="s">
        <v>5</v>
      </c>
      <c r="F28" s="7" t="s">
        <v>480</v>
      </c>
      <c r="G28" s="7" t="s">
        <v>481</v>
      </c>
      <c r="H28" s="7">
        <f t="shared" si="0"/>
        <v>1</v>
      </c>
    </row>
    <row r="29" spans="1:8" ht="25" customHeight="1" x14ac:dyDescent="0.35">
      <c r="A29" s="7" t="s">
        <v>114</v>
      </c>
      <c r="B29" s="7" t="s">
        <v>115</v>
      </c>
      <c r="C29" s="7" t="s">
        <v>4</v>
      </c>
      <c r="D29" s="7">
        <v>5</v>
      </c>
      <c r="E29" s="7" t="s">
        <v>5</v>
      </c>
      <c r="F29" s="7" t="s">
        <v>484</v>
      </c>
      <c r="G29" s="7" t="s">
        <v>485</v>
      </c>
      <c r="H29" s="7">
        <f t="shared" si="0"/>
        <v>1</v>
      </c>
    </row>
    <row r="30" spans="1:8" ht="25" customHeight="1" x14ac:dyDescent="0.35">
      <c r="A30" s="7" t="s">
        <v>118</v>
      </c>
      <c r="B30" s="7" t="s">
        <v>119</v>
      </c>
      <c r="C30" s="7" t="s">
        <v>4</v>
      </c>
      <c r="D30" s="7">
        <v>5</v>
      </c>
      <c r="E30" s="7" t="s">
        <v>5</v>
      </c>
      <c r="F30" s="7" t="s">
        <v>486</v>
      </c>
      <c r="G30" s="7" t="s">
        <v>487</v>
      </c>
      <c r="H30" s="7">
        <f t="shared" si="0"/>
        <v>1</v>
      </c>
    </row>
    <row r="31" spans="1:8" ht="25" customHeight="1" x14ac:dyDescent="0.35">
      <c r="A31" s="7" t="s">
        <v>488</v>
      </c>
      <c r="B31" s="7" t="s">
        <v>489</v>
      </c>
      <c r="C31" s="7" t="s">
        <v>4</v>
      </c>
      <c r="D31" s="7">
        <v>5</v>
      </c>
      <c r="E31" s="7" t="s">
        <v>5</v>
      </c>
      <c r="F31" s="7" t="s">
        <v>490</v>
      </c>
      <c r="G31" s="7" t="s">
        <v>491</v>
      </c>
      <c r="H31" s="7">
        <f t="shared" si="0"/>
        <v>1</v>
      </c>
    </row>
    <row r="32" spans="1:8" ht="25" customHeight="1" x14ac:dyDescent="0.35">
      <c r="A32" s="7" t="s">
        <v>492</v>
      </c>
      <c r="B32" s="7" t="s">
        <v>493</v>
      </c>
      <c r="C32" s="7" t="s">
        <v>4</v>
      </c>
      <c r="D32" s="7">
        <v>5</v>
      </c>
      <c r="E32" s="7" t="s">
        <v>5</v>
      </c>
      <c r="F32" s="7" t="s">
        <v>490</v>
      </c>
      <c r="G32" s="7" t="s">
        <v>491</v>
      </c>
      <c r="H32" s="7">
        <f t="shared" si="0"/>
        <v>1</v>
      </c>
    </row>
    <row r="33" spans="1:8" ht="25" customHeight="1" x14ac:dyDescent="0.35">
      <c r="A33" s="7" t="s">
        <v>494</v>
      </c>
      <c r="B33" s="7" t="s">
        <v>495</v>
      </c>
      <c r="C33" s="7" t="s">
        <v>4</v>
      </c>
      <c r="D33" s="7">
        <v>5</v>
      </c>
      <c r="E33" s="7" t="s">
        <v>5</v>
      </c>
      <c r="F33" s="7" t="s">
        <v>496</v>
      </c>
      <c r="G33" s="7" t="s">
        <v>497</v>
      </c>
      <c r="H33" s="7">
        <f t="shared" si="0"/>
        <v>1</v>
      </c>
    </row>
    <row r="34" spans="1:8" ht="25" customHeight="1" x14ac:dyDescent="0.35">
      <c r="A34" s="7" t="s">
        <v>498</v>
      </c>
      <c r="B34" s="7" t="s">
        <v>499</v>
      </c>
      <c r="C34" s="7" t="s">
        <v>500</v>
      </c>
      <c r="D34" s="7">
        <v>5</v>
      </c>
      <c r="E34" s="7" t="s">
        <v>5</v>
      </c>
      <c r="F34" s="7" t="s">
        <v>501</v>
      </c>
      <c r="G34" s="7" t="s">
        <v>502</v>
      </c>
      <c r="H34" s="7">
        <f t="shared" si="0"/>
        <v>1</v>
      </c>
    </row>
    <row r="35" spans="1:8" ht="25" customHeight="1" x14ac:dyDescent="0.35">
      <c r="A35" s="7" t="s">
        <v>503</v>
      </c>
      <c r="B35" s="7" t="s">
        <v>504</v>
      </c>
      <c r="C35" s="7" t="s">
        <v>4</v>
      </c>
      <c r="D35" s="7">
        <v>5</v>
      </c>
      <c r="E35" s="7" t="s">
        <v>5</v>
      </c>
      <c r="F35" s="7" t="s">
        <v>505</v>
      </c>
      <c r="G35" s="7" t="s">
        <v>506</v>
      </c>
      <c r="H35" s="7">
        <f t="shared" si="0"/>
        <v>1</v>
      </c>
    </row>
    <row r="36" spans="1:8" ht="25" customHeight="1" x14ac:dyDescent="0.35">
      <c r="A36" s="7" t="s">
        <v>507</v>
      </c>
      <c r="B36" s="7" t="s">
        <v>508</v>
      </c>
      <c r="C36" s="7" t="s">
        <v>4</v>
      </c>
      <c r="D36" s="7">
        <v>5</v>
      </c>
      <c r="E36" s="7" t="s">
        <v>5</v>
      </c>
      <c r="F36" s="7" t="s">
        <v>509</v>
      </c>
      <c r="G36" s="7" t="s">
        <v>510</v>
      </c>
      <c r="H36" s="7">
        <f t="shared" si="0"/>
        <v>1</v>
      </c>
    </row>
    <row r="37" spans="1:8" ht="25" customHeight="1" x14ac:dyDescent="0.35">
      <c r="A37" s="7" t="s">
        <v>511</v>
      </c>
      <c r="B37" s="7" t="s">
        <v>512</v>
      </c>
      <c r="C37" s="7" t="s">
        <v>4</v>
      </c>
      <c r="D37" s="7">
        <v>5</v>
      </c>
      <c r="E37" s="7" t="s">
        <v>5</v>
      </c>
      <c r="F37" s="7" t="s">
        <v>509</v>
      </c>
      <c r="G37" s="7" t="s">
        <v>510</v>
      </c>
      <c r="H37" s="7">
        <f t="shared" si="0"/>
        <v>1</v>
      </c>
    </row>
    <row r="38" spans="1:8" ht="25" customHeight="1" x14ac:dyDescent="0.35">
      <c r="A38" s="7" t="s">
        <v>513</v>
      </c>
      <c r="B38" s="7" t="s">
        <v>514</v>
      </c>
      <c r="C38" s="7" t="s">
        <v>4</v>
      </c>
      <c r="D38" s="7">
        <v>5</v>
      </c>
      <c r="E38" s="7" t="s">
        <v>5</v>
      </c>
      <c r="F38" s="7" t="s">
        <v>509</v>
      </c>
      <c r="G38" s="7" t="s">
        <v>510</v>
      </c>
      <c r="H38" s="7">
        <f t="shared" si="0"/>
        <v>1</v>
      </c>
    </row>
    <row r="39" spans="1:8" ht="25" customHeight="1" x14ac:dyDescent="0.35">
      <c r="A39" s="7" t="s">
        <v>515</v>
      </c>
      <c r="B39" s="7" t="s">
        <v>516</v>
      </c>
      <c r="C39" s="7" t="s">
        <v>4</v>
      </c>
      <c r="D39" s="7">
        <v>5</v>
      </c>
      <c r="E39" s="7" t="s">
        <v>5</v>
      </c>
      <c r="F39" s="7" t="s">
        <v>509</v>
      </c>
      <c r="G39" s="7" t="s">
        <v>510</v>
      </c>
      <c r="H39" s="7">
        <f t="shared" si="0"/>
        <v>1</v>
      </c>
    </row>
    <row r="40" spans="1:8" ht="25" customHeight="1" x14ac:dyDescent="0.35">
      <c r="A40" s="7" t="s">
        <v>517</v>
      </c>
      <c r="B40" s="7" t="s">
        <v>518</v>
      </c>
      <c r="C40" s="7" t="s">
        <v>4</v>
      </c>
      <c r="D40" s="7">
        <v>5</v>
      </c>
      <c r="E40" s="7" t="s">
        <v>5</v>
      </c>
      <c r="F40" s="7" t="s">
        <v>509</v>
      </c>
      <c r="G40" s="7" t="s">
        <v>510</v>
      </c>
      <c r="H40" s="7">
        <f t="shared" si="0"/>
        <v>1</v>
      </c>
    </row>
    <row r="41" spans="1:8" ht="25" customHeight="1" x14ac:dyDescent="0.35">
      <c r="A41" s="7" t="s">
        <v>519</v>
      </c>
      <c r="B41" s="7" t="s">
        <v>520</v>
      </c>
      <c r="C41" s="7" t="s">
        <v>4</v>
      </c>
      <c r="D41" s="7">
        <v>5</v>
      </c>
      <c r="E41" s="7" t="s">
        <v>5</v>
      </c>
      <c r="F41" s="7" t="s">
        <v>509</v>
      </c>
      <c r="G41" s="7" t="s">
        <v>510</v>
      </c>
      <c r="H41" s="7">
        <f t="shared" si="0"/>
        <v>1</v>
      </c>
    </row>
    <row r="42" spans="1:8" ht="25" customHeight="1" x14ac:dyDescent="0.35">
      <c r="A42" s="7" t="s">
        <v>521</v>
      </c>
      <c r="B42" s="7" t="s">
        <v>522</v>
      </c>
      <c r="C42" s="7" t="s">
        <v>4</v>
      </c>
      <c r="D42" s="7">
        <v>5</v>
      </c>
      <c r="E42" s="7" t="s">
        <v>5</v>
      </c>
      <c r="F42" s="7" t="s">
        <v>509</v>
      </c>
      <c r="G42" s="7" t="s">
        <v>510</v>
      </c>
      <c r="H42" s="7">
        <f t="shared" si="0"/>
        <v>1</v>
      </c>
    </row>
    <row r="43" spans="1:8" ht="25" customHeight="1" x14ac:dyDescent="0.35">
      <c r="A43" s="7" t="s">
        <v>523</v>
      </c>
      <c r="B43" s="7" t="s">
        <v>524</v>
      </c>
      <c r="C43" s="7" t="s">
        <v>4</v>
      </c>
      <c r="D43" s="7">
        <v>5</v>
      </c>
      <c r="E43" s="7" t="s">
        <v>5</v>
      </c>
      <c r="F43" s="7" t="s">
        <v>509</v>
      </c>
      <c r="G43" s="7" t="s">
        <v>510</v>
      </c>
      <c r="H43" s="7">
        <f t="shared" si="0"/>
        <v>1</v>
      </c>
    </row>
    <row r="44" spans="1:8" ht="25" customHeight="1" x14ac:dyDescent="0.35">
      <c r="A44" s="7" t="s">
        <v>525</v>
      </c>
      <c r="B44" s="7" t="s">
        <v>526</v>
      </c>
      <c r="C44" s="7" t="s">
        <v>53</v>
      </c>
      <c r="D44" s="7">
        <v>5</v>
      </c>
      <c r="E44" s="7" t="s">
        <v>5</v>
      </c>
      <c r="F44" s="7" t="s">
        <v>527</v>
      </c>
      <c r="G44" s="7" t="s">
        <v>528</v>
      </c>
      <c r="H44" s="7">
        <f t="shared" si="0"/>
        <v>1</v>
      </c>
    </row>
    <row r="45" spans="1:8" ht="25" customHeight="1" x14ac:dyDescent="0.35">
      <c r="A45" s="7" t="s">
        <v>304</v>
      </c>
      <c r="B45" s="7" t="s">
        <v>305</v>
      </c>
      <c r="C45" s="7" t="s">
        <v>4</v>
      </c>
      <c r="D45" s="7">
        <v>10</v>
      </c>
      <c r="E45" s="7" t="s">
        <v>5</v>
      </c>
      <c r="F45" s="7" t="s">
        <v>529</v>
      </c>
      <c r="G45" s="7" t="s">
        <v>530</v>
      </c>
      <c r="H45" s="7">
        <f t="shared" si="0"/>
        <v>2</v>
      </c>
    </row>
    <row r="46" spans="1:8" ht="25" customHeight="1" x14ac:dyDescent="0.35">
      <c r="A46" s="7" t="s">
        <v>531</v>
      </c>
      <c r="B46" s="7" t="s">
        <v>532</v>
      </c>
      <c r="C46" s="7" t="s">
        <v>4</v>
      </c>
      <c r="D46" s="7">
        <v>5</v>
      </c>
      <c r="E46" s="7" t="s">
        <v>5</v>
      </c>
      <c r="F46" s="7" t="s">
        <v>533</v>
      </c>
      <c r="G46" s="7" t="s">
        <v>534</v>
      </c>
      <c r="H46" s="7">
        <f t="shared" si="0"/>
        <v>1</v>
      </c>
    </row>
    <row r="47" spans="1:8" ht="25" customHeight="1" x14ac:dyDescent="0.35">
      <c r="A47" s="7" t="s">
        <v>268</v>
      </c>
      <c r="B47" s="7" t="s">
        <v>269</v>
      </c>
      <c r="C47" s="7" t="s">
        <v>4</v>
      </c>
      <c r="D47" s="7">
        <v>5</v>
      </c>
      <c r="E47" s="7" t="s">
        <v>5</v>
      </c>
      <c r="F47" s="7" t="s">
        <v>535</v>
      </c>
      <c r="G47" s="7" t="s">
        <v>536</v>
      </c>
      <c r="H47" s="7">
        <f t="shared" si="0"/>
        <v>1</v>
      </c>
    </row>
    <row r="48" spans="1:8" x14ac:dyDescent="0.35">
      <c r="G48" s="2" t="s">
        <v>3496</v>
      </c>
      <c r="H48" s="2">
        <f>SUM(H2:H47)</f>
        <v>57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8" orientation="portrait" r:id="rId1"/>
  <headerFoot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A7DF-9E35-4EEA-B613-0C752161C7E4}">
  <dimension ref="A1:H38"/>
  <sheetViews>
    <sheetView view="pageBreakPreview" topLeftCell="A26" zoomScale="85" zoomScaleNormal="85" zoomScaleSheetLayoutView="85" workbookViewId="0">
      <selection activeCell="H38" sqref="G38:H38"/>
    </sheetView>
  </sheetViews>
  <sheetFormatPr defaultColWidth="36.54296875" defaultRowHeight="16" x14ac:dyDescent="0.35"/>
  <cols>
    <col min="1" max="1" width="15.08984375" style="1" customWidth="1"/>
    <col min="2" max="2" width="39.1796875" style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8.453125" style="1" bestFit="1" customWidth="1"/>
    <col min="8" max="8" width="8.363281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537</v>
      </c>
      <c r="C1" s="6" t="s">
        <v>3480</v>
      </c>
      <c r="D1" s="6" t="s">
        <v>3488</v>
      </c>
      <c r="E1" s="6" t="s">
        <v>3484</v>
      </c>
      <c r="F1" s="6" t="s">
        <v>3481</v>
      </c>
      <c r="G1" s="6" t="s">
        <v>3482</v>
      </c>
      <c r="H1" s="6" t="s">
        <v>3487</v>
      </c>
    </row>
    <row r="2" spans="1:8" ht="25" customHeight="1" x14ac:dyDescent="0.35">
      <c r="A2" s="7" t="s">
        <v>76</v>
      </c>
      <c r="B2" s="7" t="s">
        <v>77</v>
      </c>
      <c r="C2" s="7" t="s">
        <v>53</v>
      </c>
      <c r="D2" s="7">
        <v>64</v>
      </c>
      <c r="E2" s="7" t="s">
        <v>5</v>
      </c>
      <c r="F2" s="7" t="s">
        <v>78</v>
      </c>
      <c r="G2" s="7" t="s">
        <v>538</v>
      </c>
      <c r="H2" s="7">
        <f>D2/16</f>
        <v>4</v>
      </c>
    </row>
    <row r="3" spans="1:8" ht="25" customHeight="1" x14ac:dyDescent="0.35">
      <c r="A3" s="7" t="s">
        <v>539</v>
      </c>
      <c r="B3" s="7" t="s">
        <v>540</v>
      </c>
      <c r="C3" s="7" t="s">
        <v>4</v>
      </c>
      <c r="D3" s="7">
        <v>16</v>
      </c>
      <c r="E3" s="7" t="s">
        <v>5</v>
      </c>
      <c r="F3" s="7" t="s">
        <v>49</v>
      </c>
      <c r="G3" s="7" t="s">
        <v>541</v>
      </c>
      <c r="H3" s="7">
        <f t="shared" ref="H3:H37" si="0">D3/16</f>
        <v>1</v>
      </c>
    </row>
    <row r="4" spans="1:8" ht="25" customHeight="1" x14ac:dyDescent="0.35">
      <c r="A4" s="7" t="s">
        <v>542</v>
      </c>
      <c r="B4" s="7" t="s">
        <v>543</v>
      </c>
      <c r="C4" s="7" t="s">
        <v>53</v>
      </c>
      <c r="D4" s="7">
        <v>32</v>
      </c>
      <c r="E4" s="7" t="s">
        <v>5</v>
      </c>
      <c r="F4" s="7" t="s">
        <v>544</v>
      </c>
      <c r="G4" s="7" t="s">
        <v>545</v>
      </c>
      <c r="H4" s="7">
        <f t="shared" si="0"/>
        <v>2</v>
      </c>
    </row>
    <row r="5" spans="1:8" ht="25" customHeight="1" x14ac:dyDescent="0.35">
      <c r="A5" s="7" t="s">
        <v>546</v>
      </c>
      <c r="B5" s="7" t="s">
        <v>547</v>
      </c>
      <c r="C5" s="7" t="s">
        <v>53</v>
      </c>
      <c r="D5" s="7">
        <v>64</v>
      </c>
      <c r="E5" s="7" t="s">
        <v>5</v>
      </c>
      <c r="F5" s="7" t="s">
        <v>548</v>
      </c>
      <c r="G5" s="7" t="s">
        <v>549</v>
      </c>
      <c r="H5" s="7">
        <f t="shared" si="0"/>
        <v>4</v>
      </c>
    </row>
    <row r="6" spans="1:8" ht="25" customHeight="1" x14ac:dyDescent="0.35">
      <c r="A6" s="7" t="s">
        <v>550</v>
      </c>
      <c r="B6" s="7" t="s">
        <v>551</v>
      </c>
      <c r="C6" s="7" t="s">
        <v>53</v>
      </c>
      <c r="D6" s="7">
        <v>32</v>
      </c>
      <c r="E6" s="7" t="s">
        <v>5</v>
      </c>
      <c r="F6" s="7" t="s">
        <v>552</v>
      </c>
      <c r="G6" s="7" t="s">
        <v>553</v>
      </c>
      <c r="H6" s="7">
        <f t="shared" si="0"/>
        <v>2</v>
      </c>
    </row>
    <row r="7" spans="1:8" ht="25" customHeight="1" x14ac:dyDescent="0.35">
      <c r="A7" s="7" t="s">
        <v>554</v>
      </c>
      <c r="B7" s="7" t="s">
        <v>555</v>
      </c>
      <c r="C7" s="7" t="s">
        <v>53</v>
      </c>
      <c r="D7" s="7">
        <v>32</v>
      </c>
      <c r="E7" s="7" t="s">
        <v>5</v>
      </c>
      <c r="F7" s="7" t="s">
        <v>556</v>
      </c>
      <c r="G7" s="7" t="s">
        <v>557</v>
      </c>
      <c r="H7" s="7">
        <f t="shared" si="0"/>
        <v>2</v>
      </c>
    </row>
    <row r="8" spans="1:8" ht="25" customHeight="1" x14ac:dyDescent="0.35">
      <c r="A8" s="7" t="s">
        <v>558</v>
      </c>
      <c r="B8" s="7" t="s">
        <v>559</v>
      </c>
      <c r="C8" s="7" t="s">
        <v>53</v>
      </c>
      <c r="D8" s="7">
        <v>32</v>
      </c>
      <c r="E8" s="7" t="s">
        <v>5</v>
      </c>
      <c r="F8" s="7" t="s">
        <v>560</v>
      </c>
      <c r="G8" s="7" t="s">
        <v>561</v>
      </c>
      <c r="H8" s="7">
        <f t="shared" si="0"/>
        <v>2</v>
      </c>
    </row>
    <row r="9" spans="1:8" ht="25" customHeight="1" x14ac:dyDescent="0.35">
      <c r="A9" s="7" t="s">
        <v>562</v>
      </c>
      <c r="B9" s="7" t="s">
        <v>563</v>
      </c>
      <c r="C9" s="7" t="s">
        <v>53</v>
      </c>
      <c r="D9" s="7">
        <v>32</v>
      </c>
      <c r="E9" s="7" t="s">
        <v>5</v>
      </c>
      <c r="F9" s="7" t="s">
        <v>564</v>
      </c>
      <c r="G9" s="7" t="s">
        <v>565</v>
      </c>
      <c r="H9" s="7">
        <f t="shared" si="0"/>
        <v>2</v>
      </c>
    </row>
    <row r="10" spans="1:8" ht="25" customHeight="1" x14ac:dyDescent="0.35">
      <c r="A10" s="7" t="s">
        <v>566</v>
      </c>
      <c r="B10" s="7" t="s">
        <v>567</v>
      </c>
      <c r="C10" s="7" t="s">
        <v>4</v>
      </c>
      <c r="D10" s="7">
        <v>16</v>
      </c>
      <c r="E10" s="7" t="s">
        <v>5</v>
      </c>
      <c r="F10" s="7" t="s">
        <v>568</v>
      </c>
      <c r="G10" s="7" t="s">
        <v>569</v>
      </c>
      <c r="H10" s="7">
        <f t="shared" si="0"/>
        <v>1</v>
      </c>
    </row>
    <row r="11" spans="1:8" ht="25" customHeight="1" x14ac:dyDescent="0.35">
      <c r="A11" s="7" t="s">
        <v>570</v>
      </c>
      <c r="B11" s="7" t="s">
        <v>571</v>
      </c>
      <c r="C11" s="7" t="s">
        <v>53</v>
      </c>
      <c r="D11" s="7">
        <v>32</v>
      </c>
      <c r="E11" s="7" t="s">
        <v>5</v>
      </c>
      <c r="F11" s="7" t="s">
        <v>572</v>
      </c>
      <c r="G11" s="7" t="s">
        <v>573</v>
      </c>
      <c r="H11" s="7">
        <f t="shared" si="0"/>
        <v>2</v>
      </c>
    </row>
    <row r="12" spans="1:8" ht="25" customHeight="1" x14ac:dyDescent="0.35">
      <c r="A12" s="7" t="s">
        <v>574</v>
      </c>
      <c r="B12" s="7" t="s">
        <v>575</v>
      </c>
      <c r="C12" s="7" t="s">
        <v>53</v>
      </c>
      <c r="D12" s="7">
        <v>32</v>
      </c>
      <c r="E12" s="7" t="s">
        <v>5</v>
      </c>
      <c r="F12" s="7" t="s">
        <v>576</v>
      </c>
      <c r="G12" s="7" t="s">
        <v>577</v>
      </c>
      <c r="H12" s="7">
        <f t="shared" si="0"/>
        <v>2</v>
      </c>
    </row>
    <row r="13" spans="1:8" ht="25" customHeight="1" x14ac:dyDescent="0.35">
      <c r="A13" s="7" t="s">
        <v>196</v>
      </c>
      <c r="B13" s="7" t="s">
        <v>197</v>
      </c>
      <c r="C13" s="7" t="s">
        <v>53</v>
      </c>
      <c r="D13" s="7">
        <v>16</v>
      </c>
      <c r="E13" s="7" t="s">
        <v>5</v>
      </c>
      <c r="F13" s="7" t="s">
        <v>198</v>
      </c>
      <c r="G13" s="7" t="s">
        <v>578</v>
      </c>
      <c r="H13" s="7">
        <f t="shared" si="0"/>
        <v>1</v>
      </c>
    </row>
    <row r="14" spans="1:8" ht="25" customHeight="1" x14ac:dyDescent="0.35">
      <c r="A14" s="7" t="s">
        <v>204</v>
      </c>
      <c r="B14" s="7" t="s">
        <v>205</v>
      </c>
      <c r="C14" s="7" t="s">
        <v>53</v>
      </c>
      <c r="D14" s="7">
        <v>16</v>
      </c>
      <c r="E14" s="7" t="s">
        <v>5</v>
      </c>
      <c r="F14" s="7" t="s">
        <v>206</v>
      </c>
      <c r="G14" s="7" t="s">
        <v>579</v>
      </c>
      <c r="H14" s="7">
        <f t="shared" si="0"/>
        <v>1</v>
      </c>
    </row>
    <row r="15" spans="1:8" ht="25" customHeight="1" x14ac:dyDescent="0.35">
      <c r="A15" s="7" t="s">
        <v>580</v>
      </c>
      <c r="B15" s="7" t="s">
        <v>581</v>
      </c>
      <c r="C15" s="7" t="s">
        <v>4</v>
      </c>
      <c r="D15" s="7">
        <v>16</v>
      </c>
      <c r="E15" s="7" t="s">
        <v>5</v>
      </c>
      <c r="F15" s="7" t="s">
        <v>582</v>
      </c>
      <c r="G15" s="7" t="s">
        <v>583</v>
      </c>
      <c r="H15" s="7">
        <f t="shared" si="0"/>
        <v>1</v>
      </c>
    </row>
    <row r="16" spans="1:8" ht="25" customHeight="1" x14ac:dyDescent="0.35">
      <c r="A16" s="7" t="s">
        <v>584</v>
      </c>
      <c r="B16" s="7" t="s">
        <v>585</v>
      </c>
      <c r="C16" s="7" t="s">
        <v>4</v>
      </c>
      <c r="D16" s="7">
        <v>16</v>
      </c>
      <c r="E16" s="7" t="s">
        <v>5</v>
      </c>
      <c r="F16" s="7" t="s">
        <v>586</v>
      </c>
      <c r="G16" s="7" t="s">
        <v>587</v>
      </c>
      <c r="H16" s="7">
        <f t="shared" si="0"/>
        <v>1</v>
      </c>
    </row>
    <row r="17" spans="1:8" ht="25" customHeight="1" x14ac:dyDescent="0.35">
      <c r="A17" s="7" t="s">
        <v>588</v>
      </c>
      <c r="B17" s="7" t="s">
        <v>589</v>
      </c>
      <c r="C17" s="7" t="s">
        <v>4</v>
      </c>
      <c r="D17" s="7">
        <v>16</v>
      </c>
      <c r="E17" s="7" t="s">
        <v>5</v>
      </c>
      <c r="F17" s="7" t="s">
        <v>590</v>
      </c>
      <c r="G17" s="7" t="s">
        <v>591</v>
      </c>
      <c r="H17" s="7">
        <f t="shared" si="0"/>
        <v>1</v>
      </c>
    </row>
    <row r="18" spans="1:8" ht="25" customHeight="1" x14ac:dyDescent="0.35">
      <c r="A18" s="7" t="s">
        <v>592</v>
      </c>
      <c r="B18" s="7" t="s">
        <v>593</v>
      </c>
      <c r="C18" s="7" t="s">
        <v>4</v>
      </c>
      <c r="D18" s="7">
        <v>32</v>
      </c>
      <c r="E18" s="7" t="s">
        <v>5</v>
      </c>
      <c r="F18" s="7" t="s">
        <v>594</v>
      </c>
      <c r="G18" s="7" t="s">
        <v>595</v>
      </c>
      <c r="H18" s="7">
        <f t="shared" si="0"/>
        <v>2</v>
      </c>
    </row>
    <row r="19" spans="1:8" ht="25" customHeight="1" x14ac:dyDescent="0.35">
      <c r="A19" s="7" t="s">
        <v>596</v>
      </c>
      <c r="B19" s="7" t="s">
        <v>597</v>
      </c>
      <c r="C19" s="7" t="s">
        <v>4</v>
      </c>
      <c r="D19" s="7">
        <v>32</v>
      </c>
      <c r="E19" s="7" t="s">
        <v>5</v>
      </c>
      <c r="F19" s="7" t="s">
        <v>598</v>
      </c>
      <c r="G19" s="7" t="s">
        <v>599</v>
      </c>
      <c r="H19" s="7">
        <f t="shared" si="0"/>
        <v>2</v>
      </c>
    </row>
    <row r="20" spans="1:8" ht="25" customHeight="1" x14ac:dyDescent="0.35">
      <c r="A20" s="7" t="s">
        <v>600</v>
      </c>
      <c r="B20" s="7" t="s">
        <v>601</v>
      </c>
      <c r="C20" s="7" t="s">
        <v>53</v>
      </c>
      <c r="D20" s="7">
        <v>16</v>
      </c>
      <c r="E20" s="7" t="s">
        <v>5</v>
      </c>
      <c r="F20" s="7" t="s">
        <v>602</v>
      </c>
      <c r="G20" s="7" t="s">
        <v>603</v>
      </c>
      <c r="H20" s="7">
        <f t="shared" si="0"/>
        <v>1</v>
      </c>
    </row>
    <row r="21" spans="1:8" ht="25" customHeight="1" x14ac:dyDescent="0.35">
      <c r="A21" s="7" t="s">
        <v>604</v>
      </c>
      <c r="B21" s="7" t="s">
        <v>605</v>
      </c>
      <c r="C21" s="7" t="s">
        <v>4</v>
      </c>
      <c r="D21" s="7">
        <v>16</v>
      </c>
      <c r="E21" s="7" t="s">
        <v>5</v>
      </c>
      <c r="F21" s="7" t="s">
        <v>606</v>
      </c>
      <c r="G21" s="7" t="s">
        <v>607</v>
      </c>
      <c r="H21" s="7">
        <f t="shared" si="0"/>
        <v>1</v>
      </c>
    </row>
    <row r="22" spans="1:8" ht="25" customHeight="1" x14ac:dyDescent="0.35">
      <c r="A22" s="7" t="s">
        <v>608</v>
      </c>
      <c r="B22" s="7" t="s">
        <v>609</v>
      </c>
      <c r="C22" s="7" t="s">
        <v>53</v>
      </c>
      <c r="D22" s="7">
        <v>16</v>
      </c>
      <c r="E22" s="7" t="s">
        <v>5</v>
      </c>
      <c r="F22" s="7" t="s">
        <v>610</v>
      </c>
      <c r="G22" s="7" t="s">
        <v>611</v>
      </c>
      <c r="H22" s="7">
        <f t="shared" si="0"/>
        <v>1</v>
      </c>
    </row>
    <row r="23" spans="1:8" ht="25" customHeight="1" x14ac:dyDescent="0.35">
      <c r="A23" s="7" t="s">
        <v>612</v>
      </c>
      <c r="B23" s="7" t="s">
        <v>613</v>
      </c>
      <c r="C23" s="7" t="s">
        <v>4</v>
      </c>
      <c r="D23" s="7">
        <v>16</v>
      </c>
      <c r="E23" s="7" t="s">
        <v>5</v>
      </c>
      <c r="F23" s="7" t="s">
        <v>614</v>
      </c>
      <c r="G23" s="7" t="s">
        <v>615</v>
      </c>
      <c r="H23" s="7">
        <f t="shared" si="0"/>
        <v>1</v>
      </c>
    </row>
    <row r="24" spans="1:8" ht="25" customHeight="1" x14ac:dyDescent="0.35">
      <c r="A24" s="7" t="s">
        <v>616</v>
      </c>
      <c r="B24" s="7" t="s">
        <v>617</v>
      </c>
      <c r="C24" s="7" t="s">
        <v>53</v>
      </c>
      <c r="D24" s="7">
        <v>16</v>
      </c>
      <c r="E24" s="7" t="s">
        <v>5</v>
      </c>
      <c r="F24" s="7" t="s">
        <v>618</v>
      </c>
      <c r="G24" s="7" t="s">
        <v>619</v>
      </c>
      <c r="H24" s="7">
        <f t="shared" si="0"/>
        <v>1</v>
      </c>
    </row>
    <row r="25" spans="1:8" ht="25" customHeight="1" x14ac:dyDescent="0.35">
      <c r="A25" s="7" t="s">
        <v>620</v>
      </c>
      <c r="B25" s="7" t="s">
        <v>621</v>
      </c>
      <c r="C25" s="7" t="s">
        <v>53</v>
      </c>
      <c r="D25" s="7">
        <v>16</v>
      </c>
      <c r="E25" s="7" t="s">
        <v>5</v>
      </c>
      <c r="F25" s="7" t="s">
        <v>622</v>
      </c>
      <c r="G25" s="7" t="s">
        <v>623</v>
      </c>
      <c r="H25" s="7">
        <f t="shared" si="0"/>
        <v>1</v>
      </c>
    </row>
    <row r="26" spans="1:8" ht="25" customHeight="1" x14ac:dyDescent="0.35">
      <c r="A26" s="7" t="s">
        <v>624</v>
      </c>
      <c r="B26" s="7" t="s">
        <v>625</v>
      </c>
      <c r="C26" s="7" t="s">
        <v>53</v>
      </c>
      <c r="D26" s="7">
        <v>16</v>
      </c>
      <c r="E26" s="7" t="s">
        <v>5</v>
      </c>
      <c r="F26" s="7" t="s">
        <v>626</v>
      </c>
      <c r="G26" s="7" t="s">
        <v>627</v>
      </c>
      <c r="H26" s="7">
        <f t="shared" si="0"/>
        <v>1</v>
      </c>
    </row>
    <row r="27" spans="1:8" ht="25" customHeight="1" x14ac:dyDescent="0.35">
      <c r="A27" s="7" t="s">
        <v>628</v>
      </c>
      <c r="B27" s="7" t="s">
        <v>629</v>
      </c>
      <c r="C27" s="7" t="s">
        <v>4</v>
      </c>
      <c r="D27" s="7">
        <v>16</v>
      </c>
      <c r="E27" s="7" t="s">
        <v>5</v>
      </c>
      <c r="F27" s="7" t="s">
        <v>630</v>
      </c>
      <c r="G27" s="7" t="s">
        <v>631</v>
      </c>
      <c r="H27" s="7">
        <f t="shared" si="0"/>
        <v>1</v>
      </c>
    </row>
    <row r="28" spans="1:8" ht="25" customHeight="1" x14ac:dyDescent="0.35">
      <c r="A28" s="7" t="s">
        <v>498</v>
      </c>
      <c r="B28" s="7" t="s">
        <v>499</v>
      </c>
      <c r="C28" s="7" t="s">
        <v>500</v>
      </c>
      <c r="D28" s="7">
        <v>16</v>
      </c>
      <c r="E28" s="7" t="s">
        <v>5</v>
      </c>
      <c r="F28" s="7" t="s">
        <v>501</v>
      </c>
      <c r="G28" s="7" t="s">
        <v>632</v>
      </c>
      <c r="H28" s="7">
        <f t="shared" si="0"/>
        <v>1</v>
      </c>
    </row>
    <row r="29" spans="1:8" ht="25" customHeight="1" x14ac:dyDescent="0.35">
      <c r="A29" s="7" t="s">
        <v>633</v>
      </c>
      <c r="B29" s="7" t="s">
        <v>634</v>
      </c>
      <c r="C29" s="7" t="s">
        <v>4</v>
      </c>
      <c r="D29" s="7">
        <v>16</v>
      </c>
      <c r="E29" s="7" t="s">
        <v>5</v>
      </c>
      <c r="F29" s="7" t="s">
        <v>635</v>
      </c>
      <c r="G29" s="7" t="s">
        <v>636</v>
      </c>
      <c r="H29" s="7">
        <f t="shared" si="0"/>
        <v>1</v>
      </c>
    </row>
    <row r="30" spans="1:8" ht="25" customHeight="1" x14ac:dyDescent="0.35">
      <c r="A30" s="7" t="s">
        <v>637</v>
      </c>
      <c r="B30" s="7" t="s">
        <v>638</v>
      </c>
      <c r="C30" s="7" t="s">
        <v>4</v>
      </c>
      <c r="D30" s="7">
        <v>16</v>
      </c>
      <c r="E30" s="7" t="s">
        <v>5</v>
      </c>
      <c r="F30" s="7" t="s">
        <v>639</v>
      </c>
      <c r="G30" s="7" t="s">
        <v>640</v>
      </c>
      <c r="H30" s="7">
        <f t="shared" si="0"/>
        <v>1</v>
      </c>
    </row>
    <row r="31" spans="1:8" ht="25" customHeight="1" x14ac:dyDescent="0.35">
      <c r="A31" s="7" t="s">
        <v>641</v>
      </c>
      <c r="B31" s="7" t="s">
        <v>642</v>
      </c>
      <c r="C31" s="7" t="s">
        <v>4</v>
      </c>
      <c r="D31" s="7">
        <v>16</v>
      </c>
      <c r="E31" s="7" t="s">
        <v>5</v>
      </c>
      <c r="F31" s="7" t="s">
        <v>643</v>
      </c>
      <c r="G31" s="7" t="s">
        <v>644</v>
      </c>
      <c r="H31" s="7">
        <f t="shared" si="0"/>
        <v>1</v>
      </c>
    </row>
    <row r="32" spans="1:8" ht="25" customHeight="1" x14ac:dyDescent="0.35">
      <c r="A32" s="7" t="s">
        <v>645</v>
      </c>
      <c r="B32" s="7" t="s">
        <v>646</v>
      </c>
      <c r="C32" s="7" t="s">
        <v>4</v>
      </c>
      <c r="D32" s="7">
        <v>16</v>
      </c>
      <c r="E32" s="7" t="s">
        <v>5</v>
      </c>
      <c r="F32" s="7" t="s">
        <v>647</v>
      </c>
      <c r="G32" s="7" t="s">
        <v>648</v>
      </c>
      <c r="H32" s="7">
        <f t="shared" si="0"/>
        <v>1</v>
      </c>
    </row>
    <row r="33" spans="1:8" ht="25" customHeight="1" x14ac:dyDescent="0.35">
      <c r="A33" s="7" t="s">
        <v>649</v>
      </c>
      <c r="B33" s="7" t="s">
        <v>650</v>
      </c>
      <c r="C33" s="7" t="s">
        <v>4</v>
      </c>
      <c r="D33" s="7">
        <v>16</v>
      </c>
      <c r="E33" s="7" t="s">
        <v>5</v>
      </c>
      <c r="F33" s="7" t="s">
        <v>651</v>
      </c>
      <c r="G33" s="7" t="s">
        <v>652</v>
      </c>
      <c r="H33" s="7">
        <f t="shared" si="0"/>
        <v>1</v>
      </c>
    </row>
    <row r="34" spans="1:8" ht="25" customHeight="1" x14ac:dyDescent="0.35">
      <c r="A34" s="7" t="s">
        <v>118</v>
      </c>
      <c r="B34" s="7" t="s">
        <v>119</v>
      </c>
      <c r="C34" s="7" t="s">
        <v>4</v>
      </c>
      <c r="D34" s="7">
        <v>16</v>
      </c>
      <c r="E34" s="7" t="s">
        <v>5</v>
      </c>
      <c r="F34" s="7" t="s">
        <v>120</v>
      </c>
      <c r="G34" s="7" t="s">
        <v>653</v>
      </c>
      <c r="H34" s="7">
        <f t="shared" si="0"/>
        <v>1</v>
      </c>
    </row>
    <row r="35" spans="1:8" ht="25" customHeight="1" x14ac:dyDescent="0.35">
      <c r="A35" s="7" t="s">
        <v>654</v>
      </c>
      <c r="B35" s="7" t="s">
        <v>655</v>
      </c>
      <c r="C35" s="7" t="s">
        <v>4</v>
      </c>
      <c r="D35" s="7">
        <v>16</v>
      </c>
      <c r="E35" s="7" t="s">
        <v>5</v>
      </c>
      <c r="F35" s="7" t="s">
        <v>656</v>
      </c>
      <c r="G35" s="7" t="s">
        <v>657</v>
      </c>
      <c r="H35" s="7">
        <f t="shared" si="0"/>
        <v>1</v>
      </c>
    </row>
    <row r="36" spans="1:8" ht="25" customHeight="1" x14ac:dyDescent="0.35">
      <c r="A36" s="7" t="s">
        <v>658</v>
      </c>
      <c r="B36" s="7" t="s">
        <v>659</v>
      </c>
      <c r="C36" s="7" t="s">
        <v>4</v>
      </c>
      <c r="D36" s="7">
        <v>32</v>
      </c>
      <c r="E36" s="7" t="s">
        <v>5</v>
      </c>
      <c r="F36" s="7" t="s">
        <v>660</v>
      </c>
      <c r="G36" s="7" t="s">
        <v>661</v>
      </c>
      <c r="H36" s="7">
        <f t="shared" si="0"/>
        <v>2</v>
      </c>
    </row>
    <row r="37" spans="1:8" ht="25" customHeight="1" x14ac:dyDescent="0.35">
      <c r="A37" s="7" t="s">
        <v>531</v>
      </c>
      <c r="B37" s="7" t="s">
        <v>532</v>
      </c>
      <c r="C37" s="7" t="s">
        <v>4</v>
      </c>
      <c r="D37" s="7">
        <v>16</v>
      </c>
      <c r="E37" s="7" t="s">
        <v>5</v>
      </c>
      <c r="F37" s="7" t="s">
        <v>662</v>
      </c>
      <c r="G37" s="7" t="s">
        <v>663</v>
      </c>
      <c r="H37" s="7">
        <f t="shared" si="0"/>
        <v>1</v>
      </c>
    </row>
    <row r="38" spans="1:8" x14ac:dyDescent="0.35">
      <c r="G38" s="2" t="s">
        <v>3496</v>
      </c>
      <c r="H38" s="2">
        <f>SUM(H2:H37)</f>
        <v>52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2055-68CD-4644-AF53-B11CAC865B36}">
  <dimension ref="A1:H29"/>
  <sheetViews>
    <sheetView view="pageBreakPreview" topLeftCell="A17" zoomScale="85" zoomScaleNormal="85" zoomScaleSheetLayoutView="85" workbookViewId="0">
      <selection activeCell="H29" sqref="G29:H29"/>
    </sheetView>
  </sheetViews>
  <sheetFormatPr defaultColWidth="36.54296875" defaultRowHeight="16" x14ac:dyDescent="0.35"/>
  <cols>
    <col min="1" max="1" width="15.08984375" style="1" customWidth="1"/>
    <col min="2" max="2" width="39.1796875" style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12.54296875" style="1" bestFit="1" customWidth="1"/>
    <col min="8" max="8" width="8.36328125" style="1" bestFit="1" customWidth="1"/>
    <col min="9" max="16384" width="36.54296875" style="1"/>
  </cols>
  <sheetData>
    <row r="1" spans="1:8" x14ac:dyDescent="0.35">
      <c r="A1" s="5" t="s">
        <v>3483</v>
      </c>
      <c r="B1" s="6" t="s">
        <v>664</v>
      </c>
      <c r="C1" s="6" t="s">
        <v>3480</v>
      </c>
      <c r="D1" s="6" t="s">
        <v>3488</v>
      </c>
      <c r="E1" s="6" t="s">
        <v>3484</v>
      </c>
      <c r="F1" s="6" t="s">
        <v>3481</v>
      </c>
      <c r="G1" s="6" t="s">
        <v>3482</v>
      </c>
      <c r="H1" s="6" t="s">
        <v>3487</v>
      </c>
    </row>
    <row r="2" spans="1:8" ht="31" x14ac:dyDescent="0.35">
      <c r="A2" s="7" t="s">
        <v>665</v>
      </c>
      <c r="B2" s="7" t="s">
        <v>666</v>
      </c>
      <c r="C2" s="7" t="s">
        <v>53</v>
      </c>
      <c r="D2" s="7">
        <v>100</v>
      </c>
      <c r="E2" s="7" t="s">
        <v>5</v>
      </c>
      <c r="F2" s="7" t="s">
        <v>82</v>
      </c>
      <c r="G2" s="7" t="s">
        <v>667</v>
      </c>
      <c r="H2" s="7">
        <f>D2/25</f>
        <v>4</v>
      </c>
    </row>
    <row r="3" spans="1:8" x14ac:dyDescent="0.35">
      <c r="A3" s="7" t="s">
        <v>539</v>
      </c>
      <c r="B3" s="7" t="s">
        <v>540</v>
      </c>
      <c r="C3" s="7" t="s">
        <v>4</v>
      </c>
      <c r="D3" s="7">
        <v>50</v>
      </c>
      <c r="E3" s="7" t="s">
        <v>5</v>
      </c>
      <c r="F3" s="7" t="s">
        <v>49</v>
      </c>
      <c r="G3" s="7" t="s">
        <v>668</v>
      </c>
      <c r="H3" s="7">
        <f t="shared" ref="H3:H28" si="0">D3/25</f>
        <v>2</v>
      </c>
    </row>
    <row r="4" spans="1:8" x14ac:dyDescent="0.35">
      <c r="A4" s="7" t="s">
        <v>542</v>
      </c>
      <c r="B4" s="7" t="s">
        <v>543</v>
      </c>
      <c r="C4" s="7" t="s">
        <v>53</v>
      </c>
      <c r="D4" s="7">
        <v>50</v>
      </c>
      <c r="E4" s="7" t="s">
        <v>5</v>
      </c>
      <c r="F4" s="7" t="s">
        <v>544</v>
      </c>
      <c r="G4" s="7" t="s">
        <v>669</v>
      </c>
      <c r="H4" s="7">
        <f t="shared" si="0"/>
        <v>2</v>
      </c>
    </row>
    <row r="5" spans="1:8" x14ac:dyDescent="0.35">
      <c r="A5" s="7" t="s">
        <v>670</v>
      </c>
      <c r="B5" s="7" t="s">
        <v>671</v>
      </c>
      <c r="C5" s="7" t="s">
        <v>53</v>
      </c>
      <c r="D5" s="7">
        <v>50</v>
      </c>
      <c r="E5" s="7" t="s">
        <v>5</v>
      </c>
      <c r="F5" s="7" t="s">
        <v>672</v>
      </c>
      <c r="G5" s="7" t="s">
        <v>673</v>
      </c>
      <c r="H5" s="7">
        <f t="shared" si="0"/>
        <v>2</v>
      </c>
    </row>
    <row r="6" spans="1:8" ht="31" x14ac:dyDescent="0.35">
      <c r="A6" s="7" t="s">
        <v>546</v>
      </c>
      <c r="B6" s="7" t="s">
        <v>547</v>
      </c>
      <c r="C6" s="7" t="s">
        <v>53</v>
      </c>
      <c r="D6" s="7">
        <v>50</v>
      </c>
      <c r="E6" s="7" t="s">
        <v>5</v>
      </c>
      <c r="F6" s="7" t="s">
        <v>548</v>
      </c>
      <c r="G6" s="7" t="s">
        <v>674</v>
      </c>
      <c r="H6" s="7">
        <f t="shared" si="0"/>
        <v>2</v>
      </c>
    </row>
    <row r="7" spans="1:8" ht="31" x14ac:dyDescent="0.35">
      <c r="A7" s="7" t="s">
        <v>550</v>
      </c>
      <c r="B7" s="7" t="s">
        <v>551</v>
      </c>
      <c r="C7" s="7" t="s">
        <v>53</v>
      </c>
      <c r="D7" s="7">
        <v>50</v>
      </c>
      <c r="E7" s="7" t="s">
        <v>5</v>
      </c>
      <c r="F7" s="7" t="s">
        <v>552</v>
      </c>
      <c r="G7" s="7" t="s">
        <v>675</v>
      </c>
      <c r="H7" s="7">
        <f t="shared" si="0"/>
        <v>2</v>
      </c>
    </row>
    <row r="8" spans="1:8" ht="31" x14ac:dyDescent="0.35">
      <c r="A8" s="7" t="s">
        <v>554</v>
      </c>
      <c r="B8" s="7" t="s">
        <v>555</v>
      </c>
      <c r="C8" s="7" t="s">
        <v>53</v>
      </c>
      <c r="D8" s="7">
        <v>50</v>
      </c>
      <c r="E8" s="7" t="s">
        <v>5</v>
      </c>
      <c r="F8" s="7" t="s">
        <v>556</v>
      </c>
      <c r="G8" s="7" t="s">
        <v>676</v>
      </c>
      <c r="H8" s="7">
        <f t="shared" si="0"/>
        <v>2</v>
      </c>
    </row>
    <row r="9" spans="1:8" x14ac:dyDescent="0.35">
      <c r="A9" s="7" t="s">
        <v>558</v>
      </c>
      <c r="B9" s="7" t="s">
        <v>559</v>
      </c>
      <c r="C9" s="7" t="s">
        <v>53</v>
      </c>
      <c r="D9" s="7">
        <v>50</v>
      </c>
      <c r="E9" s="7" t="s">
        <v>5</v>
      </c>
      <c r="F9" s="7" t="s">
        <v>560</v>
      </c>
      <c r="G9" s="7" t="s">
        <v>677</v>
      </c>
      <c r="H9" s="7">
        <f t="shared" si="0"/>
        <v>2</v>
      </c>
    </row>
    <row r="10" spans="1:8" x14ac:dyDescent="0.35">
      <c r="A10" s="7" t="s">
        <v>562</v>
      </c>
      <c r="B10" s="7" t="s">
        <v>563</v>
      </c>
      <c r="C10" s="7" t="s">
        <v>53</v>
      </c>
      <c r="D10" s="7">
        <v>50</v>
      </c>
      <c r="E10" s="7" t="s">
        <v>5</v>
      </c>
      <c r="F10" s="7" t="s">
        <v>564</v>
      </c>
      <c r="G10" s="7" t="s">
        <v>678</v>
      </c>
      <c r="H10" s="7">
        <f t="shared" si="0"/>
        <v>2</v>
      </c>
    </row>
    <row r="11" spans="1:8" ht="31" x14ac:dyDescent="0.35">
      <c r="A11" s="7" t="s">
        <v>679</v>
      </c>
      <c r="B11" s="7" t="s">
        <v>680</v>
      </c>
      <c r="C11" s="7" t="s">
        <v>4</v>
      </c>
      <c r="D11" s="7">
        <v>50</v>
      </c>
      <c r="E11" s="7" t="s">
        <v>5</v>
      </c>
      <c r="F11" s="7" t="s">
        <v>681</v>
      </c>
      <c r="G11" s="7" t="s">
        <v>682</v>
      </c>
      <c r="H11" s="7">
        <f t="shared" si="0"/>
        <v>2</v>
      </c>
    </row>
    <row r="12" spans="1:8" x14ac:dyDescent="0.35">
      <c r="A12" s="7" t="s">
        <v>683</v>
      </c>
      <c r="B12" s="7" t="s">
        <v>684</v>
      </c>
      <c r="C12" s="7" t="s">
        <v>4</v>
      </c>
      <c r="D12" s="7">
        <v>25</v>
      </c>
      <c r="E12" s="7" t="s">
        <v>5</v>
      </c>
      <c r="F12" s="7" t="s">
        <v>685</v>
      </c>
      <c r="G12" s="7" t="s">
        <v>686</v>
      </c>
      <c r="H12" s="7">
        <f t="shared" si="0"/>
        <v>1</v>
      </c>
    </row>
    <row r="13" spans="1:8" ht="31" x14ac:dyDescent="0.35">
      <c r="A13" s="7" t="s">
        <v>687</v>
      </c>
      <c r="B13" s="7" t="s">
        <v>688</v>
      </c>
      <c r="C13" s="7" t="s">
        <v>4</v>
      </c>
      <c r="D13" s="7">
        <v>25</v>
      </c>
      <c r="E13" s="7" t="s">
        <v>5</v>
      </c>
      <c r="F13" s="7" t="s">
        <v>689</v>
      </c>
      <c r="G13" s="7" t="s">
        <v>690</v>
      </c>
      <c r="H13" s="7">
        <f t="shared" si="0"/>
        <v>1</v>
      </c>
    </row>
    <row r="14" spans="1:8" x14ac:dyDescent="0.35">
      <c r="A14" s="7" t="s">
        <v>691</v>
      </c>
      <c r="B14" s="7" t="s">
        <v>692</v>
      </c>
      <c r="C14" s="7" t="s">
        <v>53</v>
      </c>
      <c r="D14" s="7">
        <v>25</v>
      </c>
      <c r="E14" s="7" t="s">
        <v>5</v>
      </c>
      <c r="F14" s="7" t="s">
        <v>693</v>
      </c>
      <c r="G14" s="7" t="s">
        <v>694</v>
      </c>
      <c r="H14" s="7">
        <f t="shared" si="0"/>
        <v>1</v>
      </c>
    </row>
    <row r="15" spans="1:8" x14ac:dyDescent="0.35">
      <c r="A15" s="7" t="s">
        <v>204</v>
      </c>
      <c r="B15" s="7" t="s">
        <v>205</v>
      </c>
      <c r="C15" s="7" t="s">
        <v>53</v>
      </c>
      <c r="D15" s="7">
        <v>25</v>
      </c>
      <c r="E15" s="7" t="s">
        <v>5</v>
      </c>
      <c r="F15" s="7" t="s">
        <v>206</v>
      </c>
      <c r="G15" s="7" t="s">
        <v>695</v>
      </c>
      <c r="H15" s="7">
        <f t="shared" si="0"/>
        <v>1</v>
      </c>
    </row>
    <row r="16" spans="1:8" x14ac:dyDescent="0.35">
      <c r="A16" s="7" t="s">
        <v>580</v>
      </c>
      <c r="B16" s="7" t="s">
        <v>581</v>
      </c>
      <c r="C16" s="7" t="s">
        <v>4</v>
      </c>
      <c r="D16" s="7">
        <v>25</v>
      </c>
      <c r="E16" s="7" t="s">
        <v>5</v>
      </c>
      <c r="F16" s="7" t="s">
        <v>582</v>
      </c>
      <c r="G16" s="7" t="s">
        <v>696</v>
      </c>
      <c r="H16" s="7">
        <f t="shared" si="0"/>
        <v>1</v>
      </c>
    </row>
    <row r="17" spans="1:8" x14ac:dyDescent="0.35">
      <c r="A17" s="7" t="s">
        <v>584</v>
      </c>
      <c r="B17" s="7" t="s">
        <v>585</v>
      </c>
      <c r="C17" s="7" t="s">
        <v>4</v>
      </c>
      <c r="D17" s="7">
        <v>25</v>
      </c>
      <c r="E17" s="7" t="s">
        <v>5</v>
      </c>
      <c r="F17" s="7" t="s">
        <v>586</v>
      </c>
      <c r="G17" s="7" t="s">
        <v>697</v>
      </c>
      <c r="H17" s="7">
        <f t="shared" si="0"/>
        <v>1</v>
      </c>
    </row>
    <row r="18" spans="1:8" x14ac:dyDescent="0.35">
      <c r="A18" s="7" t="s">
        <v>600</v>
      </c>
      <c r="B18" s="7" t="s">
        <v>601</v>
      </c>
      <c r="C18" s="7" t="s">
        <v>53</v>
      </c>
      <c r="D18" s="7">
        <v>25</v>
      </c>
      <c r="E18" s="7" t="s">
        <v>5</v>
      </c>
      <c r="F18" s="7" t="s">
        <v>602</v>
      </c>
      <c r="G18" s="7" t="s">
        <v>698</v>
      </c>
      <c r="H18" s="7">
        <f t="shared" si="0"/>
        <v>1</v>
      </c>
    </row>
    <row r="19" spans="1:8" x14ac:dyDescent="0.35">
      <c r="A19" s="7" t="s">
        <v>604</v>
      </c>
      <c r="B19" s="7" t="s">
        <v>605</v>
      </c>
      <c r="C19" s="7" t="s">
        <v>4</v>
      </c>
      <c r="D19" s="7">
        <v>25</v>
      </c>
      <c r="E19" s="7" t="s">
        <v>5</v>
      </c>
      <c r="F19" s="7" t="s">
        <v>606</v>
      </c>
      <c r="G19" s="7" t="s">
        <v>699</v>
      </c>
      <c r="H19" s="7">
        <f t="shared" si="0"/>
        <v>1</v>
      </c>
    </row>
    <row r="20" spans="1:8" x14ac:dyDescent="0.35">
      <c r="A20" s="7" t="s">
        <v>700</v>
      </c>
      <c r="B20" s="7" t="s">
        <v>701</v>
      </c>
      <c r="C20" s="7" t="s">
        <v>4</v>
      </c>
      <c r="D20" s="7">
        <v>25</v>
      </c>
      <c r="E20" s="7" t="s">
        <v>5</v>
      </c>
      <c r="F20" s="7" t="s">
        <v>702</v>
      </c>
      <c r="G20" s="7" t="s">
        <v>703</v>
      </c>
      <c r="H20" s="7">
        <f t="shared" si="0"/>
        <v>1</v>
      </c>
    </row>
    <row r="21" spans="1:8" ht="31" x14ac:dyDescent="0.35">
      <c r="A21" s="7" t="s">
        <v>612</v>
      </c>
      <c r="B21" s="7" t="s">
        <v>613</v>
      </c>
      <c r="C21" s="7" t="s">
        <v>4</v>
      </c>
      <c r="D21" s="7">
        <v>25</v>
      </c>
      <c r="E21" s="7" t="s">
        <v>5</v>
      </c>
      <c r="F21" s="7" t="s">
        <v>614</v>
      </c>
      <c r="G21" s="7" t="s">
        <v>704</v>
      </c>
      <c r="H21" s="7">
        <f t="shared" si="0"/>
        <v>1</v>
      </c>
    </row>
    <row r="22" spans="1:8" x14ac:dyDescent="0.35">
      <c r="A22" s="7" t="s">
        <v>705</v>
      </c>
      <c r="B22" s="7" t="s">
        <v>706</v>
      </c>
      <c r="C22" s="7" t="s">
        <v>53</v>
      </c>
      <c r="D22" s="7">
        <v>25</v>
      </c>
      <c r="E22" s="7" t="s">
        <v>5</v>
      </c>
      <c r="F22" s="7" t="s">
        <v>707</v>
      </c>
      <c r="G22" s="7" t="s">
        <v>708</v>
      </c>
      <c r="H22" s="7">
        <f t="shared" si="0"/>
        <v>1</v>
      </c>
    </row>
    <row r="23" spans="1:8" ht="31" x14ac:dyDescent="0.35">
      <c r="A23" s="7" t="s">
        <v>628</v>
      </c>
      <c r="B23" s="7" t="s">
        <v>629</v>
      </c>
      <c r="C23" s="7" t="s">
        <v>4</v>
      </c>
      <c r="D23" s="7">
        <v>25</v>
      </c>
      <c r="E23" s="7" t="s">
        <v>5</v>
      </c>
      <c r="F23" s="7" t="s">
        <v>630</v>
      </c>
      <c r="G23" s="7" t="s">
        <v>709</v>
      </c>
      <c r="H23" s="7">
        <f t="shared" si="0"/>
        <v>1</v>
      </c>
    </row>
    <row r="24" spans="1:8" x14ac:dyDescent="0.35">
      <c r="A24" s="7" t="s">
        <v>498</v>
      </c>
      <c r="B24" s="7" t="s">
        <v>499</v>
      </c>
      <c r="C24" s="7" t="s">
        <v>500</v>
      </c>
      <c r="D24" s="7">
        <v>25</v>
      </c>
      <c r="E24" s="7" t="s">
        <v>5</v>
      </c>
      <c r="F24" s="7" t="s">
        <v>501</v>
      </c>
      <c r="G24" s="7" t="s">
        <v>710</v>
      </c>
      <c r="H24" s="7">
        <f t="shared" si="0"/>
        <v>1</v>
      </c>
    </row>
    <row r="25" spans="1:8" ht="31" x14ac:dyDescent="0.35">
      <c r="A25" s="7" t="s">
        <v>633</v>
      </c>
      <c r="B25" s="7" t="s">
        <v>634</v>
      </c>
      <c r="C25" s="7" t="s">
        <v>4</v>
      </c>
      <c r="D25" s="7">
        <v>25</v>
      </c>
      <c r="E25" s="7" t="s">
        <v>5</v>
      </c>
      <c r="F25" s="7" t="s">
        <v>635</v>
      </c>
      <c r="G25" s="7" t="s">
        <v>711</v>
      </c>
      <c r="H25" s="7">
        <f t="shared" si="0"/>
        <v>1</v>
      </c>
    </row>
    <row r="26" spans="1:8" x14ac:dyDescent="0.35">
      <c r="A26" s="7" t="s">
        <v>637</v>
      </c>
      <c r="B26" s="7" t="s">
        <v>638</v>
      </c>
      <c r="C26" s="7" t="s">
        <v>4</v>
      </c>
      <c r="D26" s="7">
        <v>25</v>
      </c>
      <c r="E26" s="7" t="s">
        <v>5</v>
      </c>
      <c r="F26" s="7" t="s">
        <v>639</v>
      </c>
      <c r="G26" s="7" t="s">
        <v>712</v>
      </c>
      <c r="H26" s="7">
        <f t="shared" si="0"/>
        <v>1</v>
      </c>
    </row>
    <row r="27" spans="1:8" x14ac:dyDescent="0.35">
      <c r="A27" s="7" t="s">
        <v>386</v>
      </c>
      <c r="B27" s="7" t="s">
        <v>387</v>
      </c>
      <c r="C27" s="7" t="s">
        <v>4</v>
      </c>
      <c r="D27" s="7">
        <v>25</v>
      </c>
      <c r="E27" s="7" t="s">
        <v>5</v>
      </c>
      <c r="F27" s="7" t="s">
        <v>713</v>
      </c>
      <c r="G27" s="7" t="s">
        <v>714</v>
      </c>
      <c r="H27" s="7">
        <f t="shared" si="0"/>
        <v>1</v>
      </c>
    </row>
    <row r="28" spans="1:8" x14ac:dyDescent="0.35">
      <c r="A28" s="7" t="s">
        <v>715</v>
      </c>
      <c r="B28" s="7" t="s">
        <v>716</v>
      </c>
      <c r="C28" s="7" t="s">
        <v>4</v>
      </c>
      <c r="D28" s="7">
        <v>25</v>
      </c>
      <c r="E28" s="7" t="s">
        <v>5</v>
      </c>
      <c r="F28" s="7" t="s">
        <v>717</v>
      </c>
      <c r="G28" s="7" t="s">
        <v>718</v>
      </c>
      <c r="H28" s="7">
        <f t="shared" si="0"/>
        <v>1</v>
      </c>
    </row>
    <row r="29" spans="1:8" x14ac:dyDescent="0.35">
      <c r="G29" s="2" t="s">
        <v>3496</v>
      </c>
      <c r="H29" s="2">
        <f>SUM(H2:H28)</f>
        <v>39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AE63-7B92-4279-B847-A339CA4C3A7F}">
  <dimension ref="A1:H62"/>
  <sheetViews>
    <sheetView view="pageBreakPreview" topLeftCell="A49" zoomScale="85" zoomScaleNormal="85" zoomScaleSheetLayoutView="85" workbookViewId="0">
      <selection activeCell="H62" sqref="H62"/>
    </sheetView>
  </sheetViews>
  <sheetFormatPr defaultColWidth="36.54296875" defaultRowHeight="16" x14ac:dyDescent="0.35"/>
  <cols>
    <col min="1" max="1" width="15.08984375" style="1" customWidth="1"/>
    <col min="2" max="2" width="42.08984375" style="1" customWidth="1"/>
    <col min="3" max="3" width="6.36328125" style="1" customWidth="1"/>
    <col min="4" max="4" width="4.54296875" style="1" bestFit="1" customWidth="1"/>
    <col min="5" max="5" width="5.36328125" style="1" bestFit="1" customWidth="1"/>
    <col min="6" max="6" width="7.26953125" style="1" bestFit="1" customWidth="1"/>
    <col min="7" max="7" width="9.54296875" style="1" bestFit="1" customWidth="1"/>
    <col min="8" max="8" width="8.72656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719</v>
      </c>
      <c r="C1" s="6" t="s">
        <v>3480</v>
      </c>
      <c r="D1" s="6" t="s">
        <v>3488</v>
      </c>
      <c r="E1" s="6" t="s">
        <v>3484</v>
      </c>
      <c r="F1" s="6" t="s">
        <v>3481</v>
      </c>
      <c r="G1" s="6" t="s">
        <v>3482</v>
      </c>
      <c r="H1" s="6" t="s">
        <v>3497</v>
      </c>
    </row>
    <row r="2" spans="1:8" ht="25" customHeight="1" x14ac:dyDescent="0.35">
      <c r="A2" s="7" t="s">
        <v>720</v>
      </c>
      <c r="B2" s="7" t="s">
        <v>721</v>
      </c>
      <c r="C2" s="7" t="s">
        <v>53</v>
      </c>
      <c r="D2" s="7">
        <v>150</v>
      </c>
      <c r="E2" s="7" t="s">
        <v>5</v>
      </c>
      <c r="F2" s="7" t="s">
        <v>722</v>
      </c>
      <c r="G2" s="7" t="s">
        <v>723</v>
      </c>
      <c r="H2" s="7">
        <f>D2/25</f>
        <v>6</v>
      </c>
    </row>
    <row r="3" spans="1:8" ht="25" customHeight="1" x14ac:dyDescent="0.35">
      <c r="A3" s="7" t="s">
        <v>724</v>
      </c>
      <c r="B3" s="7" t="s">
        <v>725</v>
      </c>
      <c r="C3" s="7" t="s">
        <v>53</v>
      </c>
      <c r="D3" s="7">
        <v>150</v>
      </c>
      <c r="E3" s="7" t="s">
        <v>5</v>
      </c>
      <c r="F3" s="7" t="s">
        <v>726</v>
      </c>
      <c r="G3" s="7" t="s">
        <v>727</v>
      </c>
      <c r="H3" s="7">
        <f t="shared" ref="H3:H61" si="0">D3/25</f>
        <v>6</v>
      </c>
    </row>
    <row r="4" spans="1:8" ht="25" customHeight="1" x14ac:dyDescent="0.35">
      <c r="A4" s="7" t="s">
        <v>558</v>
      </c>
      <c r="B4" s="7" t="s">
        <v>559</v>
      </c>
      <c r="C4" s="7" t="s">
        <v>53</v>
      </c>
      <c r="D4" s="7">
        <v>150</v>
      </c>
      <c r="E4" s="7" t="s">
        <v>5</v>
      </c>
      <c r="F4" s="7" t="s">
        <v>728</v>
      </c>
      <c r="G4" s="7" t="s">
        <v>729</v>
      </c>
      <c r="H4" s="7">
        <f t="shared" si="0"/>
        <v>6</v>
      </c>
    </row>
    <row r="5" spans="1:8" ht="25" customHeight="1" x14ac:dyDescent="0.35">
      <c r="A5" s="7" t="s">
        <v>730</v>
      </c>
      <c r="B5" s="7" t="s">
        <v>731</v>
      </c>
      <c r="C5" s="7" t="s">
        <v>53</v>
      </c>
      <c r="D5" s="7">
        <v>100</v>
      </c>
      <c r="E5" s="7" t="s">
        <v>5</v>
      </c>
      <c r="F5" s="7" t="s">
        <v>732</v>
      </c>
      <c r="G5" s="7" t="s">
        <v>733</v>
      </c>
      <c r="H5" s="7">
        <f t="shared" si="0"/>
        <v>4</v>
      </c>
    </row>
    <row r="6" spans="1:8" ht="25" customHeight="1" x14ac:dyDescent="0.35">
      <c r="A6" s="7" t="s">
        <v>734</v>
      </c>
      <c r="B6" s="7" t="s">
        <v>735</v>
      </c>
      <c r="C6" s="7" t="s">
        <v>53</v>
      </c>
      <c r="D6" s="7">
        <v>100</v>
      </c>
      <c r="E6" s="7" t="s">
        <v>5</v>
      </c>
      <c r="F6" s="7" t="s">
        <v>736</v>
      </c>
      <c r="G6" s="7" t="s">
        <v>737</v>
      </c>
      <c r="H6" s="7">
        <f t="shared" si="0"/>
        <v>4</v>
      </c>
    </row>
    <row r="7" spans="1:8" ht="25" customHeight="1" x14ac:dyDescent="0.35">
      <c r="A7" s="7" t="s">
        <v>738</v>
      </c>
      <c r="B7" s="7" t="s">
        <v>739</v>
      </c>
      <c r="C7" s="7" t="s">
        <v>53</v>
      </c>
      <c r="D7" s="7">
        <v>100</v>
      </c>
      <c r="E7" s="7" t="s">
        <v>5</v>
      </c>
      <c r="F7" s="7" t="s">
        <v>740</v>
      </c>
      <c r="G7" s="7" t="s">
        <v>741</v>
      </c>
      <c r="H7" s="7">
        <f t="shared" si="0"/>
        <v>4</v>
      </c>
    </row>
    <row r="8" spans="1:8" ht="25" customHeight="1" x14ac:dyDescent="0.35">
      <c r="A8" s="7" t="s">
        <v>80</v>
      </c>
      <c r="B8" s="7" t="s">
        <v>81</v>
      </c>
      <c r="C8" s="7" t="s">
        <v>53</v>
      </c>
      <c r="D8" s="7">
        <v>200</v>
      </c>
      <c r="E8" s="7" t="s">
        <v>5</v>
      </c>
      <c r="F8" s="7" t="s">
        <v>742</v>
      </c>
      <c r="G8" s="7" t="s">
        <v>743</v>
      </c>
      <c r="H8" s="7">
        <f t="shared" si="0"/>
        <v>8</v>
      </c>
    </row>
    <row r="9" spans="1:8" ht="25" customHeight="1" x14ac:dyDescent="0.35">
      <c r="A9" s="7" t="s">
        <v>744</v>
      </c>
      <c r="B9" s="7" t="s">
        <v>745</v>
      </c>
      <c r="C9" s="7" t="s">
        <v>53</v>
      </c>
      <c r="D9" s="7">
        <v>50</v>
      </c>
      <c r="E9" s="7" t="s">
        <v>5</v>
      </c>
      <c r="F9" s="7" t="s">
        <v>746</v>
      </c>
      <c r="G9" s="7" t="s">
        <v>747</v>
      </c>
      <c r="H9" s="7">
        <f t="shared" si="0"/>
        <v>2</v>
      </c>
    </row>
    <row r="10" spans="1:8" ht="25" customHeight="1" x14ac:dyDescent="0.35">
      <c r="A10" s="7" t="s">
        <v>748</v>
      </c>
      <c r="B10" s="7" t="s">
        <v>749</v>
      </c>
      <c r="C10" s="7" t="s">
        <v>4</v>
      </c>
      <c r="D10" s="7">
        <v>25</v>
      </c>
      <c r="E10" s="7" t="s">
        <v>5</v>
      </c>
      <c r="F10" s="7" t="s">
        <v>750</v>
      </c>
      <c r="G10" s="7" t="s">
        <v>751</v>
      </c>
      <c r="H10" s="7">
        <f t="shared" si="0"/>
        <v>1</v>
      </c>
    </row>
    <row r="11" spans="1:8" ht="25" customHeight="1" x14ac:dyDescent="0.35">
      <c r="A11" s="7" t="s">
        <v>752</v>
      </c>
      <c r="B11" s="7" t="s">
        <v>753</v>
      </c>
      <c r="C11" s="7" t="s">
        <v>4</v>
      </c>
      <c r="D11" s="7">
        <v>25</v>
      </c>
      <c r="E11" s="7" t="s">
        <v>5</v>
      </c>
      <c r="F11" s="7" t="s">
        <v>750</v>
      </c>
      <c r="G11" s="7" t="s">
        <v>751</v>
      </c>
      <c r="H11" s="7">
        <f t="shared" si="0"/>
        <v>1</v>
      </c>
    </row>
    <row r="12" spans="1:8" ht="25" customHeight="1" x14ac:dyDescent="0.35">
      <c r="A12" s="7" t="s">
        <v>754</v>
      </c>
      <c r="B12" s="7" t="s">
        <v>755</v>
      </c>
      <c r="C12" s="7" t="s">
        <v>4</v>
      </c>
      <c r="D12" s="7">
        <v>25</v>
      </c>
      <c r="E12" s="7" t="s">
        <v>5</v>
      </c>
      <c r="F12" s="7" t="s">
        <v>750</v>
      </c>
      <c r="G12" s="7" t="s">
        <v>751</v>
      </c>
      <c r="H12" s="7">
        <f t="shared" si="0"/>
        <v>1</v>
      </c>
    </row>
    <row r="13" spans="1:8" ht="25" customHeight="1" x14ac:dyDescent="0.35">
      <c r="A13" s="7" t="s">
        <v>756</v>
      </c>
      <c r="B13" s="7" t="s">
        <v>757</v>
      </c>
      <c r="C13" s="7" t="s">
        <v>4</v>
      </c>
      <c r="D13" s="7">
        <v>25</v>
      </c>
      <c r="E13" s="7" t="s">
        <v>5</v>
      </c>
      <c r="F13" s="7" t="s">
        <v>750</v>
      </c>
      <c r="G13" s="7" t="s">
        <v>751</v>
      </c>
      <c r="H13" s="7">
        <f t="shared" si="0"/>
        <v>1</v>
      </c>
    </row>
    <row r="14" spans="1:8" ht="25" customHeight="1" x14ac:dyDescent="0.35">
      <c r="A14" s="7" t="s">
        <v>758</v>
      </c>
      <c r="B14" s="7" t="s">
        <v>759</v>
      </c>
      <c r="C14" s="7" t="s">
        <v>4</v>
      </c>
      <c r="D14" s="7">
        <v>25</v>
      </c>
      <c r="E14" s="7" t="s">
        <v>5</v>
      </c>
      <c r="F14" s="7" t="s">
        <v>760</v>
      </c>
      <c r="G14" s="7" t="s">
        <v>761</v>
      </c>
      <c r="H14" s="7">
        <f t="shared" si="0"/>
        <v>1</v>
      </c>
    </row>
    <row r="15" spans="1:8" ht="25" customHeight="1" x14ac:dyDescent="0.35">
      <c r="A15" s="7" t="s">
        <v>762</v>
      </c>
      <c r="B15" s="7" t="s">
        <v>763</v>
      </c>
      <c r="C15" s="7" t="s">
        <v>4</v>
      </c>
      <c r="D15" s="7">
        <v>25</v>
      </c>
      <c r="E15" s="7" t="s">
        <v>5</v>
      </c>
      <c r="F15" s="7" t="s">
        <v>764</v>
      </c>
      <c r="G15" s="7" t="s">
        <v>765</v>
      </c>
      <c r="H15" s="7">
        <f t="shared" si="0"/>
        <v>1</v>
      </c>
    </row>
    <row r="16" spans="1:8" ht="25" customHeight="1" x14ac:dyDescent="0.35">
      <c r="A16" s="7" t="s">
        <v>766</v>
      </c>
      <c r="B16" s="7" t="s">
        <v>767</v>
      </c>
      <c r="C16" s="7" t="s">
        <v>4</v>
      </c>
      <c r="D16" s="7">
        <v>25</v>
      </c>
      <c r="E16" s="7" t="s">
        <v>5</v>
      </c>
      <c r="F16" s="7" t="s">
        <v>768</v>
      </c>
      <c r="G16" s="7" t="s">
        <v>769</v>
      </c>
      <c r="H16" s="7">
        <f t="shared" si="0"/>
        <v>1</v>
      </c>
    </row>
    <row r="17" spans="1:8" ht="25" customHeight="1" x14ac:dyDescent="0.35">
      <c r="A17" s="7" t="s">
        <v>770</v>
      </c>
      <c r="B17" s="7" t="s">
        <v>771</v>
      </c>
      <c r="C17" s="7" t="s">
        <v>4</v>
      </c>
      <c r="D17" s="7">
        <v>25</v>
      </c>
      <c r="E17" s="7" t="s">
        <v>5</v>
      </c>
      <c r="F17" s="7" t="s">
        <v>772</v>
      </c>
      <c r="G17" s="7" t="s">
        <v>773</v>
      </c>
      <c r="H17" s="7">
        <f t="shared" si="0"/>
        <v>1</v>
      </c>
    </row>
    <row r="18" spans="1:8" ht="25" customHeight="1" x14ac:dyDescent="0.35">
      <c r="A18" s="7" t="s">
        <v>774</v>
      </c>
      <c r="B18" s="7" t="s">
        <v>775</v>
      </c>
      <c r="C18" s="7" t="s">
        <v>4</v>
      </c>
      <c r="D18" s="7">
        <v>25</v>
      </c>
      <c r="E18" s="7" t="s">
        <v>5</v>
      </c>
      <c r="F18" s="7" t="s">
        <v>776</v>
      </c>
      <c r="G18" s="7" t="s">
        <v>777</v>
      </c>
      <c r="H18" s="7">
        <f t="shared" si="0"/>
        <v>1</v>
      </c>
    </row>
    <row r="19" spans="1:8" ht="25" customHeight="1" x14ac:dyDescent="0.35">
      <c r="A19" s="7" t="s">
        <v>778</v>
      </c>
      <c r="B19" s="7" t="s">
        <v>779</v>
      </c>
      <c r="C19" s="7" t="s">
        <v>53</v>
      </c>
      <c r="D19" s="7">
        <v>25</v>
      </c>
      <c r="E19" s="7" t="s">
        <v>5</v>
      </c>
      <c r="F19" s="7" t="s">
        <v>780</v>
      </c>
      <c r="G19" s="7" t="s">
        <v>781</v>
      </c>
      <c r="H19" s="7">
        <f t="shared" si="0"/>
        <v>1</v>
      </c>
    </row>
    <row r="20" spans="1:8" ht="25" customHeight="1" x14ac:dyDescent="0.35">
      <c r="A20" s="7" t="s">
        <v>782</v>
      </c>
      <c r="B20" s="7" t="s">
        <v>783</v>
      </c>
      <c r="C20" s="7" t="s">
        <v>53</v>
      </c>
      <c r="D20" s="7">
        <v>25</v>
      </c>
      <c r="E20" s="7" t="s">
        <v>5</v>
      </c>
      <c r="F20" s="7" t="s">
        <v>784</v>
      </c>
      <c r="G20" s="7" t="s">
        <v>785</v>
      </c>
      <c r="H20" s="7">
        <f t="shared" si="0"/>
        <v>1</v>
      </c>
    </row>
    <row r="21" spans="1:8" ht="25" customHeight="1" x14ac:dyDescent="0.35">
      <c r="A21" s="7" t="s">
        <v>786</v>
      </c>
      <c r="B21" s="7" t="s">
        <v>787</v>
      </c>
      <c r="C21" s="7" t="s">
        <v>53</v>
      </c>
      <c r="D21" s="7">
        <v>25</v>
      </c>
      <c r="E21" s="7" t="s">
        <v>5</v>
      </c>
      <c r="F21" s="7" t="s">
        <v>788</v>
      </c>
      <c r="G21" s="7" t="s">
        <v>789</v>
      </c>
      <c r="H21" s="7">
        <f t="shared" si="0"/>
        <v>1</v>
      </c>
    </row>
    <row r="22" spans="1:8" ht="25" customHeight="1" x14ac:dyDescent="0.35">
      <c r="A22" s="7" t="s">
        <v>790</v>
      </c>
      <c r="B22" s="7" t="s">
        <v>791</v>
      </c>
      <c r="C22" s="7" t="s">
        <v>4</v>
      </c>
      <c r="D22" s="7">
        <v>25</v>
      </c>
      <c r="E22" s="7" t="s">
        <v>5</v>
      </c>
      <c r="F22" s="7" t="s">
        <v>792</v>
      </c>
      <c r="G22" s="7" t="s">
        <v>793</v>
      </c>
      <c r="H22" s="7">
        <f t="shared" si="0"/>
        <v>1</v>
      </c>
    </row>
    <row r="23" spans="1:8" ht="25" customHeight="1" x14ac:dyDescent="0.35">
      <c r="A23" s="7" t="s">
        <v>794</v>
      </c>
      <c r="B23" s="7" t="s">
        <v>795</v>
      </c>
      <c r="C23" s="7" t="s">
        <v>4</v>
      </c>
      <c r="D23" s="7">
        <v>50</v>
      </c>
      <c r="E23" s="7" t="s">
        <v>5</v>
      </c>
      <c r="F23" s="7" t="s">
        <v>796</v>
      </c>
      <c r="G23" s="7" t="s">
        <v>797</v>
      </c>
      <c r="H23" s="7">
        <f t="shared" si="0"/>
        <v>2</v>
      </c>
    </row>
    <row r="24" spans="1:8" ht="25" customHeight="1" x14ac:dyDescent="0.35">
      <c r="A24" s="7" t="s">
        <v>47</v>
      </c>
      <c r="B24" s="7" t="s">
        <v>48</v>
      </c>
      <c r="C24" s="7" t="s">
        <v>4</v>
      </c>
      <c r="D24" s="7">
        <v>25</v>
      </c>
      <c r="E24" s="7" t="s">
        <v>5</v>
      </c>
      <c r="F24" s="7" t="s">
        <v>798</v>
      </c>
      <c r="G24" s="7" t="s">
        <v>799</v>
      </c>
      <c r="H24" s="7">
        <f t="shared" si="0"/>
        <v>1</v>
      </c>
    </row>
    <row r="25" spans="1:8" ht="25" customHeight="1" x14ac:dyDescent="0.35">
      <c r="A25" s="7" t="s">
        <v>539</v>
      </c>
      <c r="B25" s="7" t="s">
        <v>540</v>
      </c>
      <c r="C25" s="7" t="s">
        <v>4</v>
      </c>
      <c r="D25" s="7">
        <v>25</v>
      </c>
      <c r="E25" s="7" t="s">
        <v>5</v>
      </c>
      <c r="F25" s="7" t="s">
        <v>798</v>
      </c>
      <c r="G25" s="7" t="s">
        <v>799</v>
      </c>
      <c r="H25" s="7">
        <f t="shared" si="0"/>
        <v>1</v>
      </c>
    </row>
    <row r="26" spans="1:8" ht="25" customHeight="1" x14ac:dyDescent="0.35">
      <c r="A26" s="7" t="s">
        <v>800</v>
      </c>
      <c r="B26" s="7" t="s">
        <v>801</v>
      </c>
      <c r="C26" s="7" t="s">
        <v>4</v>
      </c>
      <c r="D26" s="7">
        <v>25</v>
      </c>
      <c r="E26" s="7" t="s">
        <v>5</v>
      </c>
      <c r="F26" s="7" t="s">
        <v>802</v>
      </c>
      <c r="G26" s="7" t="s">
        <v>803</v>
      </c>
      <c r="H26" s="7">
        <f t="shared" si="0"/>
        <v>1</v>
      </c>
    </row>
    <row r="27" spans="1:8" ht="25" customHeight="1" x14ac:dyDescent="0.35">
      <c r="A27" s="7" t="s">
        <v>374</v>
      </c>
      <c r="B27" s="7" t="s">
        <v>375</v>
      </c>
      <c r="C27" s="7" t="s">
        <v>4</v>
      </c>
      <c r="D27" s="7">
        <v>50</v>
      </c>
      <c r="E27" s="7" t="s">
        <v>5</v>
      </c>
      <c r="F27" s="7" t="s">
        <v>772</v>
      </c>
      <c r="G27" s="7" t="s">
        <v>804</v>
      </c>
      <c r="H27" s="7">
        <f t="shared" si="0"/>
        <v>2</v>
      </c>
    </row>
    <row r="28" spans="1:8" ht="25" customHeight="1" x14ac:dyDescent="0.35">
      <c r="A28" s="7" t="s">
        <v>353</v>
      </c>
      <c r="B28" s="7" t="s">
        <v>354</v>
      </c>
      <c r="C28" s="7" t="s">
        <v>4</v>
      </c>
      <c r="D28" s="7">
        <v>25</v>
      </c>
      <c r="E28" s="7" t="s">
        <v>5</v>
      </c>
      <c r="F28" s="7" t="s">
        <v>805</v>
      </c>
      <c r="G28" s="7" t="s">
        <v>806</v>
      </c>
      <c r="H28" s="7">
        <f t="shared" si="0"/>
        <v>1</v>
      </c>
    </row>
    <row r="29" spans="1:8" ht="25" customHeight="1" x14ac:dyDescent="0.35">
      <c r="A29" s="7" t="s">
        <v>807</v>
      </c>
      <c r="B29" s="7" t="s">
        <v>808</v>
      </c>
      <c r="C29" s="7" t="s">
        <v>53</v>
      </c>
      <c r="D29" s="7">
        <v>25</v>
      </c>
      <c r="E29" s="7" t="s">
        <v>5</v>
      </c>
      <c r="F29" s="7" t="s">
        <v>809</v>
      </c>
      <c r="G29" s="7" t="s">
        <v>810</v>
      </c>
      <c r="H29" s="7">
        <f t="shared" si="0"/>
        <v>1</v>
      </c>
    </row>
    <row r="30" spans="1:8" ht="25" customHeight="1" x14ac:dyDescent="0.35">
      <c r="A30" s="7" t="s">
        <v>811</v>
      </c>
      <c r="B30" s="7" t="s">
        <v>812</v>
      </c>
      <c r="C30" s="7" t="s">
        <v>4</v>
      </c>
      <c r="D30" s="7">
        <v>25</v>
      </c>
      <c r="E30" s="7" t="s">
        <v>5</v>
      </c>
      <c r="F30" s="7" t="s">
        <v>813</v>
      </c>
      <c r="G30" s="7" t="s">
        <v>814</v>
      </c>
      <c r="H30" s="7">
        <f t="shared" si="0"/>
        <v>1</v>
      </c>
    </row>
    <row r="31" spans="1:8" ht="25" customHeight="1" x14ac:dyDescent="0.35">
      <c r="A31" s="7" t="s">
        <v>815</v>
      </c>
      <c r="B31" s="7" t="s">
        <v>816</v>
      </c>
      <c r="C31" s="7" t="s">
        <v>4</v>
      </c>
      <c r="D31" s="7">
        <v>25</v>
      </c>
      <c r="E31" s="7" t="s">
        <v>5</v>
      </c>
      <c r="F31" s="7" t="s">
        <v>817</v>
      </c>
      <c r="G31" s="7" t="s">
        <v>818</v>
      </c>
      <c r="H31" s="7">
        <f t="shared" si="0"/>
        <v>1</v>
      </c>
    </row>
    <row r="32" spans="1:8" ht="25" customHeight="1" x14ac:dyDescent="0.35">
      <c r="A32" s="7" t="s">
        <v>819</v>
      </c>
      <c r="B32" s="7" t="s">
        <v>820</v>
      </c>
      <c r="C32" s="7" t="s">
        <v>4</v>
      </c>
      <c r="D32" s="7">
        <v>25</v>
      </c>
      <c r="E32" s="7" t="s">
        <v>5</v>
      </c>
      <c r="F32" s="7" t="s">
        <v>817</v>
      </c>
      <c r="G32" s="7" t="s">
        <v>818</v>
      </c>
      <c r="H32" s="7">
        <f t="shared" si="0"/>
        <v>1</v>
      </c>
    </row>
    <row r="33" spans="1:8" ht="25" customHeight="1" x14ac:dyDescent="0.35">
      <c r="A33" s="7" t="s">
        <v>604</v>
      </c>
      <c r="B33" s="7" t="s">
        <v>605</v>
      </c>
      <c r="C33" s="7" t="s">
        <v>4</v>
      </c>
      <c r="D33" s="7">
        <v>25</v>
      </c>
      <c r="E33" s="7" t="s">
        <v>5</v>
      </c>
      <c r="F33" s="7" t="s">
        <v>821</v>
      </c>
      <c r="G33" s="7" t="s">
        <v>822</v>
      </c>
      <c r="H33" s="7">
        <f t="shared" si="0"/>
        <v>1</v>
      </c>
    </row>
    <row r="34" spans="1:8" ht="25" customHeight="1" x14ac:dyDescent="0.35">
      <c r="A34" s="7" t="s">
        <v>823</v>
      </c>
      <c r="B34" s="7" t="s">
        <v>824</v>
      </c>
      <c r="C34" s="7" t="s">
        <v>4</v>
      </c>
      <c r="D34" s="7">
        <v>25</v>
      </c>
      <c r="E34" s="7" t="s">
        <v>5</v>
      </c>
      <c r="F34" s="7" t="s">
        <v>825</v>
      </c>
      <c r="G34" s="7" t="s">
        <v>826</v>
      </c>
      <c r="H34" s="7">
        <f t="shared" si="0"/>
        <v>1</v>
      </c>
    </row>
    <row r="35" spans="1:8" ht="25" customHeight="1" x14ac:dyDescent="0.35">
      <c r="A35" s="7" t="s">
        <v>827</v>
      </c>
      <c r="B35" s="7" t="s">
        <v>828</v>
      </c>
      <c r="C35" s="7" t="s">
        <v>4</v>
      </c>
      <c r="D35" s="7">
        <v>50</v>
      </c>
      <c r="E35" s="7" t="s">
        <v>5</v>
      </c>
      <c r="F35" s="7" t="s">
        <v>829</v>
      </c>
      <c r="G35" s="7" t="s">
        <v>830</v>
      </c>
      <c r="H35" s="7">
        <f t="shared" si="0"/>
        <v>2</v>
      </c>
    </row>
    <row r="36" spans="1:8" ht="25" customHeight="1" x14ac:dyDescent="0.35">
      <c r="A36" s="7" t="s">
        <v>831</v>
      </c>
      <c r="B36" s="7" t="s">
        <v>832</v>
      </c>
      <c r="C36" s="7" t="s">
        <v>4</v>
      </c>
      <c r="D36" s="7">
        <v>25</v>
      </c>
      <c r="E36" s="7" t="s">
        <v>5</v>
      </c>
      <c r="F36" s="7" t="s">
        <v>833</v>
      </c>
      <c r="G36" s="7" t="s">
        <v>834</v>
      </c>
      <c r="H36" s="7">
        <f t="shared" si="0"/>
        <v>1</v>
      </c>
    </row>
    <row r="37" spans="1:8" ht="25" customHeight="1" x14ac:dyDescent="0.35">
      <c r="A37" s="7" t="s">
        <v>835</v>
      </c>
      <c r="B37" s="7" t="s">
        <v>836</v>
      </c>
      <c r="C37" s="7" t="s">
        <v>4</v>
      </c>
      <c r="D37" s="7">
        <v>25</v>
      </c>
      <c r="E37" s="7" t="s">
        <v>5</v>
      </c>
      <c r="F37" s="7" t="s">
        <v>833</v>
      </c>
      <c r="G37" s="7" t="s">
        <v>834</v>
      </c>
      <c r="H37" s="7">
        <f t="shared" si="0"/>
        <v>1</v>
      </c>
    </row>
    <row r="38" spans="1:8" ht="25" customHeight="1" x14ac:dyDescent="0.35">
      <c r="A38" s="7" t="s">
        <v>837</v>
      </c>
      <c r="B38" s="7" t="s">
        <v>838</v>
      </c>
      <c r="C38" s="7" t="s">
        <v>53</v>
      </c>
      <c r="D38" s="7">
        <v>25</v>
      </c>
      <c r="E38" s="7" t="s">
        <v>5</v>
      </c>
      <c r="F38" s="7" t="s">
        <v>839</v>
      </c>
      <c r="G38" s="7" t="s">
        <v>840</v>
      </c>
      <c r="H38" s="7">
        <f t="shared" si="0"/>
        <v>1</v>
      </c>
    </row>
    <row r="39" spans="1:8" ht="25" customHeight="1" x14ac:dyDescent="0.35">
      <c r="A39" s="7" t="s">
        <v>841</v>
      </c>
      <c r="B39" s="7" t="s">
        <v>842</v>
      </c>
      <c r="C39" s="7" t="s">
        <v>53</v>
      </c>
      <c r="D39" s="7">
        <v>25</v>
      </c>
      <c r="E39" s="7" t="s">
        <v>5</v>
      </c>
      <c r="F39" s="7" t="s">
        <v>556</v>
      </c>
      <c r="G39" s="7" t="s">
        <v>843</v>
      </c>
      <c r="H39" s="7">
        <f t="shared" si="0"/>
        <v>1</v>
      </c>
    </row>
    <row r="40" spans="1:8" ht="25" customHeight="1" x14ac:dyDescent="0.35">
      <c r="A40" s="7" t="s">
        <v>844</v>
      </c>
      <c r="B40" s="7" t="s">
        <v>845</v>
      </c>
      <c r="C40" s="7" t="s">
        <v>4</v>
      </c>
      <c r="D40" s="7">
        <v>25</v>
      </c>
      <c r="E40" s="7" t="s">
        <v>5</v>
      </c>
      <c r="F40" s="7" t="s">
        <v>846</v>
      </c>
      <c r="G40" s="7" t="s">
        <v>847</v>
      </c>
      <c r="H40" s="7">
        <f t="shared" si="0"/>
        <v>1</v>
      </c>
    </row>
    <row r="41" spans="1:8" ht="25" customHeight="1" x14ac:dyDescent="0.35">
      <c r="A41" s="7" t="s">
        <v>848</v>
      </c>
      <c r="B41" s="7" t="s">
        <v>849</v>
      </c>
      <c r="C41" s="7" t="s">
        <v>4</v>
      </c>
      <c r="D41" s="7">
        <v>25</v>
      </c>
      <c r="E41" s="7" t="s">
        <v>5</v>
      </c>
      <c r="F41" s="7" t="s">
        <v>850</v>
      </c>
      <c r="G41" s="7" t="s">
        <v>851</v>
      </c>
      <c r="H41" s="7">
        <f t="shared" si="0"/>
        <v>1</v>
      </c>
    </row>
    <row r="42" spans="1:8" ht="25" customHeight="1" x14ac:dyDescent="0.35">
      <c r="A42" s="7" t="s">
        <v>852</v>
      </c>
      <c r="B42" s="7" t="s">
        <v>853</v>
      </c>
      <c r="C42" s="7" t="s">
        <v>4</v>
      </c>
      <c r="D42" s="7">
        <v>50</v>
      </c>
      <c r="E42" s="7" t="s">
        <v>5</v>
      </c>
      <c r="F42" s="7" t="s">
        <v>854</v>
      </c>
      <c r="G42" s="7" t="s">
        <v>855</v>
      </c>
      <c r="H42" s="7">
        <f t="shared" si="0"/>
        <v>2</v>
      </c>
    </row>
    <row r="43" spans="1:8" ht="25" customHeight="1" x14ac:dyDescent="0.35">
      <c r="A43" s="7" t="s">
        <v>856</v>
      </c>
      <c r="B43" s="7" t="s">
        <v>857</v>
      </c>
      <c r="C43" s="7" t="s">
        <v>4</v>
      </c>
      <c r="D43" s="7">
        <v>25</v>
      </c>
      <c r="E43" s="7" t="s">
        <v>5</v>
      </c>
      <c r="F43" s="7" t="s">
        <v>858</v>
      </c>
      <c r="G43" s="7" t="s">
        <v>859</v>
      </c>
      <c r="H43" s="7">
        <f t="shared" si="0"/>
        <v>1</v>
      </c>
    </row>
    <row r="44" spans="1:8" ht="25" customHeight="1" x14ac:dyDescent="0.35">
      <c r="A44" s="7" t="s">
        <v>860</v>
      </c>
      <c r="B44" s="7" t="s">
        <v>861</v>
      </c>
      <c r="C44" s="7" t="s">
        <v>4</v>
      </c>
      <c r="D44" s="7">
        <v>25</v>
      </c>
      <c r="E44" s="7" t="s">
        <v>5</v>
      </c>
      <c r="F44" s="7" t="s">
        <v>862</v>
      </c>
      <c r="G44" s="7" t="s">
        <v>863</v>
      </c>
      <c r="H44" s="7">
        <f t="shared" si="0"/>
        <v>1</v>
      </c>
    </row>
    <row r="45" spans="1:8" ht="25" customHeight="1" x14ac:dyDescent="0.35">
      <c r="A45" s="7" t="s">
        <v>864</v>
      </c>
      <c r="B45" s="7" t="s">
        <v>865</v>
      </c>
      <c r="C45" s="7" t="s">
        <v>4</v>
      </c>
      <c r="D45" s="7">
        <v>25</v>
      </c>
      <c r="E45" s="7" t="s">
        <v>5</v>
      </c>
      <c r="F45" s="7" t="s">
        <v>866</v>
      </c>
      <c r="G45" s="7" t="s">
        <v>867</v>
      </c>
      <c r="H45" s="7">
        <f t="shared" si="0"/>
        <v>1</v>
      </c>
    </row>
    <row r="46" spans="1:8" ht="25" customHeight="1" x14ac:dyDescent="0.35">
      <c r="A46" s="7" t="s">
        <v>868</v>
      </c>
      <c r="B46" s="7" t="s">
        <v>869</v>
      </c>
      <c r="C46" s="7" t="s">
        <v>53</v>
      </c>
      <c r="D46" s="7">
        <v>25</v>
      </c>
      <c r="E46" s="7" t="s">
        <v>5</v>
      </c>
      <c r="F46" s="7" t="s">
        <v>870</v>
      </c>
      <c r="G46" s="7" t="s">
        <v>871</v>
      </c>
      <c r="H46" s="7">
        <f t="shared" si="0"/>
        <v>1</v>
      </c>
    </row>
    <row r="47" spans="1:8" ht="25" customHeight="1" x14ac:dyDescent="0.35">
      <c r="A47" s="7" t="s">
        <v>872</v>
      </c>
      <c r="B47" s="7" t="s">
        <v>873</v>
      </c>
      <c r="C47" s="7" t="s">
        <v>53</v>
      </c>
      <c r="D47" s="7">
        <v>25</v>
      </c>
      <c r="E47" s="7" t="s">
        <v>5</v>
      </c>
      <c r="F47" s="7" t="s">
        <v>874</v>
      </c>
      <c r="G47" s="7" t="s">
        <v>875</v>
      </c>
      <c r="H47" s="7">
        <f t="shared" si="0"/>
        <v>1</v>
      </c>
    </row>
    <row r="48" spans="1:8" ht="25" customHeight="1" x14ac:dyDescent="0.35">
      <c r="A48" s="7" t="s">
        <v>876</v>
      </c>
      <c r="B48" s="7" t="s">
        <v>877</v>
      </c>
      <c r="C48" s="7" t="s">
        <v>53</v>
      </c>
      <c r="D48" s="7">
        <v>25</v>
      </c>
      <c r="E48" s="7" t="s">
        <v>5</v>
      </c>
      <c r="F48" s="7" t="s">
        <v>878</v>
      </c>
      <c r="G48" s="7" t="s">
        <v>879</v>
      </c>
      <c r="H48" s="7">
        <f t="shared" si="0"/>
        <v>1</v>
      </c>
    </row>
    <row r="49" spans="1:8" ht="25" customHeight="1" x14ac:dyDescent="0.35">
      <c r="A49" s="7" t="s">
        <v>880</v>
      </c>
      <c r="B49" s="7" t="s">
        <v>881</v>
      </c>
      <c r="C49" s="7" t="s">
        <v>4</v>
      </c>
      <c r="D49" s="7">
        <v>25</v>
      </c>
      <c r="E49" s="7" t="s">
        <v>5</v>
      </c>
      <c r="F49" s="7" t="s">
        <v>882</v>
      </c>
      <c r="G49" s="7" t="s">
        <v>883</v>
      </c>
      <c r="H49" s="7">
        <f t="shared" si="0"/>
        <v>1</v>
      </c>
    </row>
    <row r="50" spans="1:8" ht="25" customHeight="1" x14ac:dyDescent="0.35">
      <c r="A50" s="7" t="s">
        <v>884</v>
      </c>
      <c r="B50" s="7" t="s">
        <v>885</v>
      </c>
      <c r="C50" s="7" t="s">
        <v>4</v>
      </c>
      <c r="D50" s="7">
        <v>25</v>
      </c>
      <c r="E50" s="7" t="s">
        <v>5</v>
      </c>
      <c r="F50" s="7" t="s">
        <v>886</v>
      </c>
      <c r="G50" s="7" t="s">
        <v>887</v>
      </c>
      <c r="H50" s="7">
        <f t="shared" si="0"/>
        <v>1</v>
      </c>
    </row>
    <row r="51" spans="1:8" ht="25" customHeight="1" x14ac:dyDescent="0.35">
      <c r="A51" s="7" t="s">
        <v>888</v>
      </c>
      <c r="B51" s="7" t="s">
        <v>889</v>
      </c>
      <c r="C51" s="7" t="s">
        <v>4</v>
      </c>
      <c r="D51" s="7">
        <v>25</v>
      </c>
      <c r="E51" s="7" t="s">
        <v>5</v>
      </c>
      <c r="F51" s="7" t="s">
        <v>890</v>
      </c>
      <c r="G51" s="7" t="s">
        <v>891</v>
      </c>
      <c r="H51" s="7">
        <f t="shared" si="0"/>
        <v>1</v>
      </c>
    </row>
    <row r="52" spans="1:8" ht="25" customHeight="1" x14ac:dyDescent="0.35">
      <c r="A52" s="7" t="s">
        <v>892</v>
      </c>
      <c r="B52" s="7" t="s">
        <v>893</v>
      </c>
      <c r="C52" s="7" t="s">
        <v>4</v>
      </c>
      <c r="D52" s="7">
        <v>25</v>
      </c>
      <c r="E52" s="7" t="s">
        <v>5</v>
      </c>
      <c r="F52" s="7" t="s">
        <v>894</v>
      </c>
      <c r="G52" s="7" t="s">
        <v>895</v>
      </c>
      <c r="H52" s="7">
        <f t="shared" si="0"/>
        <v>1</v>
      </c>
    </row>
    <row r="53" spans="1:8" ht="25" customHeight="1" x14ac:dyDescent="0.35">
      <c r="A53" s="7" t="s">
        <v>896</v>
      </c>
      <c r="B53" s="7" t="s">
        <v>897</v>
      </c>
      <c r="C53" s="7" t="s">
        <v>4</v>
      </c>
      <c r="D53" s="7">
        <v>25</v>
      </c>
      <c r="E53" s="7" t="s">
        <v>5</v>
      </c>
      <c r="F53" s="7" t="s">
        <v>898</v>
      </c>
      <c r="G53" s="7" t="s">
        <v>899</v>
      </c>
      <c r="H53" s="7">
        <f t="shared" si="0"/>
        <v>1</v>
      </c>
    </row>
    <row r="54" spans="1:8" ht="25" customHeight="1" x14ac:dyDescent="0.35">
      <c r="A54" s="7" t="s">
        <v>900</v>
      </c>
      <c r="B54" s="7" t="s">
        <v>901</v>
      </c>
      <c r="C54" s="7" t="s">
        <v>4</v>
      </c>
      <c r="D54" s="7">
        <v>25</v>
      </c>
      <c r="E54" s="7" t="s">
        <v>5</v>
      </c>
      <c r="F54" s="7" t="s">
        <v>902</v>
      </c>
      <c r="G54" s="7" t="s">
        <v>903</v>
      </c>
      <c r="H54" s="7">
        <f t="shared" si="0"/>
        <v>1</v>
      </c>
    </row>
    <row r="55" spans="1:8" ht="25" customHeight="1" x14ac:dyDescent="0.35">
      <c r="A55" s="7" t="s">
        <v>904</v>
      </c>
      <c r="B55" s="7" t="s">
        <v>905</v>
      </c>
      <c r="C55" s="7" t="s">
        <v>4</v>
      </c>
      <c r="D55" s="7">
        <v>25</v>
      </c>
      <c r="E55" s="7" t="s">
        <v>5</v>
      </c>
      <c r="F55" s="7" t="s">
        <v>906</v>
      </c>
      <c r="G55" s="7" t="s">
        <v>907</v>
      </c>
      <c r="H55" s="7">
        <f t="shared" si="0"/>
        <v>1</v>
      </c>
    </row>
    <row r="56" spans="1:8" ht="25" customHeight="1" x14ac:dyDescent="0.35">
      <c r="A56" s="7" t="s">
        <v>908</v>
      </c>
      <c r="B56" s="7" t="s">
        <v>909</v>
      </c>
      <c r="C56" s="7" t="s">
        <v>4</v>
      </c>
      <c r="D56" s="7">
        <v>25</v>
      </c>
      <c r="E56" s="7" t="s">
        <v>5</v>
      </c>
      <c r="F56" s="7" t="s">
        <v>910</v>
      </c>
      <c r="G56" s="7" t="s">
        <v>911</v>
      </c>
      <c r="H56" s="7">
        <f t="shared" si="0"/>
        <v>1</v>
      </c>
    </row>
    <row r="57" spans="1:8" ht="25" customHeight="1" x14ac:dyDescent="0.35">
      <c r="A57" s="7" t="s">
        <v>912</v>
      </c>
      <c r="B57" s="7" t="s">
        <v>913</v>
      </c>
      <c r="C57" s="7" t="s">
        <v>4</v>
      </c>
      <c r="D57" s="7">
        <v>25</v>
      </c>
      <c r="E57" s="7" t="s">
        <v>5</v>
      </c>
      <c r="F57" s="7" t="s">
        <v>914</v>
      </c>
      <c r="G57" s="7" t="s">
        <v>915</v>
      </c>
      <c r="H57" s="7">
        <f t="shared" si="0"/>
        <v>1</v>
      </c>
    </row>
    <row r="58" spans="1:8" ht="25" customHeight="1" x14ac:dyDescent="0.35">
      <c r="A58" s="7" t="s">
        <v>916</v>
      </c>
      <c r="B58" s="7" t="s">
        <v>917</v>
      </c>
      <c r="C58" s="7" t="s">
        <v>4</v>
      </c>
      <c r="D58" s="7">
        <v>25</v>
      </c>
      <c r="E58" s="7" t="s">
        <v>5</v>
      </c>
      <c r="F58" s="7" t="s">
        <v>918</v>
      </c>
      <c r="G58" s="7" t="s">
        <v>919</v>
      </c>
      <c r="H58" s="7">
        <f t="shared" si="0"/>
        <v>1</v>
      </c>
    </row>
    <row r="59" spans="1:8" ht="25" customHeight="1" x14ac:dyDescent="0.35">
      <c r="A59" s="7" t="s">
        <v>633</v>
      </c>
      <c r="B59" s="7" t="s">
        <v>634</v>
      </c>
      <c r="C59" s="7" t="s">
        <v>4</v>
      </c>
      <c r="D59" s="7">
        <v>25</v>
      </c>
      <c r="E59" s="7" t="s">
        <v>5</v>
      </c>
      <c r="F59" s="7" t="s">
        <v>920</v>
      </c>
      <c r="G59" s="7" t="s">
        <v>921</v>
      </c>
      <c r="H59" s="7">
        <f t="shared" si="0"/>
        <v>1</v>
      </c>
    </row>
    <row r="60" spans="1:8" ht="25" customHeight="1" x14ac:dyDescent="0.35">
      <c r="A60" s="7" t="s">
        <v>531</v>
      </c>
      <c r="B60" s="7" t="s">
        <v>532</v>
      </c>
      <c r="C60" s="7" t="s">
        <v>4</v>
      </c>
      <c r="D60" s="7">
        <v>25</v>
      </c>
      <c r="E60" s="7" t="s">
        <v>5</v>
      </c>
      <c r="F60" s="7" t="s">
        <v>922</v>
      </c>
      <c r="G60" s="7" t="s">
        <v>923</v>
      </c>
      <c r="H60" s="7">
        <f t="shared" si="0"/>
        <v>1</v>
      </c>
    </row>
    <row r="61" spans="1:8" ht="25" customHeight="1" x14ac:dyDescent="0.35">
      <c r="A61" s="7" t="s">
        <v>637</v>
      </c>
      <c r="B61" s="7" t="s">
        <v>638</v>
      </c>
      <c r="C61" s="7" t="s">
        <v>4</v>
      </c>
      <c r="D61" s="7">
        <v>25</v>
      </c>
      <c r="E61" s="7" t="s">
        <v>5</v>
      </c>
      <c r="F61" s="7" t="s">
        <v>924</v>
      </c>
      <c r="G61" s="7" t="s">
        <v>925</v>
      </c>
      <c r="H61" s="7">
        <f t="shared" si="0"/>
        <v>1</v>
      </c>
    </row>
    <row r="62" spans="1:8" ht="25" customHeight="1" x14ac:dyDescent="0.35">
      <c r="G62" s="2" t="s">
        <v>3496</v>
      </c>
      <c r="H62" s="7">
        <f>SUM(H2:H61)</f>
        <v>96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9" orientation="portrait" r:id="rId1"/>
  <headerFoot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68BB-21D9-4A91-A5BA-CE64EA016439}">
  <dimension ref="A1:I77"/>
  <sheetViews>
    <sheetView view="pageBreakPreview" topLeftCell="A15" zoomScale="85" zoomScaleNormal="85" zoomScaleSheetLayoutView="85" workbookViewId="0">
      <selection activeCell="A22" sqref="A22"/>
    </sheetView>
  </sheetViews>
  <sheetFormatPr defaultColWidth="36.54296875" defaultRowHeight="16" x14ac:dyDescent="0.35"/>
  <cols>
    <col min="1" max="1" width="15.08984375" style="1" customWidth="1"/>
    <col min="2" max="2" width="43.453125" style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12.54296875" style="1" bestFit="1" customWidth="1"/>
    <col min="8" max="8" width="8.179687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926</v>
      </c>
      <c r="C1" s="6" t="s">
        <v>3480</v>
      </c>
      <c r="D1" s="5" t="s">
        <v>3488</v>
      </c>
      <c r="E1" s="6" t="s">
        <v>3484</v>
      </c>
      <c r="F1" s="6" t="s">
        <v>3481</v>
      </c>
      <c r="G1" s="6" t="s">
        <v>3482</v>
      </c>
      <c r="H1" s="6" t="s">
        <v>3492</v>
      </c>
    </row>
    <row r="2" spans="1:8" ht="25" customHeight="1" x14ac:dyDescent="0.35">
      <c r="A2" s="7" t="s">
        <v>47</v>
      </c>
      <c r="B2" s="7" t="s">
        <v>48</v>
      </c>
      <c r="C2" s="7" t="s">
        <v>4</v>
      </c>
      <c r="D2" s="7">
        <v>10</v>
      </c>
      <c r="E2" s="7" t="s">
        <v>5</v>
      </c>
      <c r="F2" s="7" t="s">
        <v>927</v>
      </c>
      <c r="G2" s="7" t="s">
        <v>928</v>
      </c>
      <c r="H2" s="7">
        <f>D2/10</f>
        <v>1</v>
      </c>
    </row>
    <row r="3" spans="1:8" ht="25" customHeight="1" x14ac:dyDescent="0.35">
      <c r="A3" s="7" t="s">
        <v>539</v>
      </c>
      <c r="B3" s="7" t="s">
        <v>540</v>
      </c>
      <c r="C3" s="7" t="s">
        <v>4</v>
      </c>
      <c r="D3" s="7">
        <v>10</v>
      </c>
      <c r="E3" s="7" t="s">
        <v>5</v>
      </c>
      <c r="F3" s="7" t="s">
        <v>927</v>
      </c>
      <c r="G3" s="7" t="s">
        <v>928</v>
      </c>
      <c r="H3" s="7">
        <f t="shared" ref="H3:H66" si="0">D3/10</f>
        <v>1</v>
      </c>
    </row>
    <row r="4" spans="1:8" ht="25" customHeight="1" x14ac:dyDescent="0.35">
      <c r="A4" s="12" t="s">
        <v>929</v>
      </c>
      <c r="B4" s="7" t="s">
        <v>930</v>
      </c>
      <c r="C4" s="7" t="s">
        <v>4</v>
      </c>
      <c r="D4" s="7">
        <v>10</v>
      </c>
      <c r="E4" s="7" t="s">
        <v>5</v>
      </c>
      <c r="F4" s="7" t="s">
        <v>931</v>
      </c>
      <c r="G4" s="7" t="s">
        <v>932</v>
      </c>
      <c r="H4" s="7">
        <f t="shared" si="0"/>
        <v>1</v>
      </c>
    </row>
    <row r="5" spans="1:8" ht="25" customHeight="1" x14ac:dyDescent="0.35">
      <c r="A5" s="12" t="s">
        <v>933</v>
      </c>
      <c r="B5" s="7" t="s">
        <v>934</v>
      </c>
      <c r="C5" s="7" t="s">
        <v>4</v>
      </c>
      <c r="D5" s="7">
        <v>10</v>
      </c>
      <c r="E5" s="7" t="s">
        <v>5</v>
      </c>
      <c r="F5" s="7" t="s">
        <v>935</v>
      </c>
      <c r="G5" s="7" t="s">
        <v>936</v>
      </c>
      <c r="H5" s="7">
        <f t="shared" si="0"/>
        <v>1</v>
      </c>
    </row>
    <row r="6" spans="1:8" ht="25" customHeight="1" x14ac:dyDescent="0.35">
      <c r="A6" s="12" t="s">
        <v>937</v>
      </c>
      <c r="B6" s="7" t="s">
        <v>938</v>
      </c>
      <c r="C6" s="7" t="s">
        <v>4</v>
      </c>
      <c r="D6" s="7">
        <v>10</v>
      </c>
      <c r="E6" s="7" t="s">
        <v>5</v>
      </c>
      <c r="F6" s="7" t="s">
        <v>939</v>
      </c>
      <c r="G6" s="7" t="s">
        <v>70</v>
      </c>
      <c r="H6" s="7">
        <f t="shared" si="0"/>
        <v>1</v>
      </c>
    </row>
    <row r="7" spans="1:8" ht="25" customHeight="1" x14ac:dyDescent="0.35">
      <c r="A7" s="7" t="s">
        <v>940</v>
      </c>
      <c r="B7" s="7" t="s">
        <v>941</v>
      </c>
      <c r="C7" s="7" t="s">
        <v>4</v>
      </c>
      <c r="D7" s="7">
        <v>10</v>
      </c>
      <c r="E7" s="7" t="s">
        <v>5</v>
      </c>
      <c r="F7" s="7" t="s">
        <v>942</v>
      </c>
      <c r="G7" s="7" t="s">
        <v>943</v>
      </c>
      <c r="H7" s="7">
        <f t="shared" si="0"/>
        <v>1</v>
      </c>
    </row>
    <row r="8" spans="1:8" ht="25" customHeight="1" x14ac:dyDescent="0.35">
      <c r="A8" s="7" t="s">
        <v>944</v>
      </c>
      <c r="B8" s="7" t="s">
        <v>945</v>
      </c>
      <c r="C8" s="7" t="s">
        <v>53</v>
      </c>
      <c r="D8" s="7">
        <v>10</v>
      </c>
      <c r="E8" s="7" t="s">
        <v>5</v>
      </c>
      <c r="F8" s="7" t="s">
        <v>736</v>
      </c>
      <c r="G8" s="7" t="s">
        <v>946</v>
      </c>
      <c r="H8" s="7">
        <f t="shared" si="0"/>
        <v>1</v>
      </c>
    </row>
    <row r="9" spans="1:8" ht="25" customHeight="1" x14ac:dyDescent="0.35">
      <c r="A9" s="7" t="s">
        <v>778</v>
      </c>
      <c r="B9" s="7" t="s">
        <v>779</v>
      </c>
      <c r="C9" s="7" t="s">
        <v>53</v>
      </c>
      <c r="D9" s="7">
        <v>10</v>
      </c>
      <c r="E9" s="7" t="s">
        <v>5</v>
      </c>
      <c r="F9" s="7" t="s">
        <v>947</v>
      </c>
      <c r="G9" s="7" t="s">
        <v>948</v>
      </c>
      <c r="H9" s="7">
        <f t="shared" si="0"/>
        <v>1</v>
      </c>
    </row>
    <row r="10" spans="1:8" ht="25" customHeight="1" x14ac:dyDescent="0.35">
      <c r="A10" s="7" t="s">
        <v>949</v>
      </c>
      <c r="B10" s="7" t="s">
        <v>950</v>
      </c>
      <c r="C10" s="7" t="s">
        <v>53</v>
      </c>
      <c r="D10" s="7">
        <v>10</v>
      </c>
      <c r="E10" s="7" t="s">
        <v>5</v>
      </c>
      <c r="F10" s="7" t="s">
        <v>951</v>
      </c>
      <c r="G10" s="7" t="s">
        <v>952</v>
      </c>
      <c r="H10" s="7">
        <f t="shared" si="0"/>
        <v>1</v>
      </c>
    </row>
    <row r="11" spans="1:8" ht="25" customHeight="1" x14ac:dyDescent="0.35">
      <c r="A11" s="12" t="s">
        <v>554</v>
      </c>
      <c r="B11" s="7" t="s">
        <v>555</v>
      </c>
      <c r="C11" s="7" t="s">
        <v>53</v>
      </c>
      <c r="D11" s="7">
        <v>60</v>
      </c>
      <c r="E11" s="7" t="s">
        <v>5</v>
      </c>
      <c r="F11" s="7" t="s">
        <v>953</v>
      </c>
      <c r="G11" s="7" t="s">
        <v>954</v>
      </c>
      <c r="H11" s="7">
        <f t="shared" si="0"/>
        <v>6</v>
      </c>
    </row>
    <row r="12" spans="1:8" ht="25" customHeight="1" x14ac:dyDescent="0.35">
      <c r="A12" s="12" t="s">
        <v>428</v>
      </c>
      <c r="B12" s="7" t="s">
        <v>429</v>
      </c>
      <c r="C12" s="7" t="s">
        <v>53</v>
      </c>
      <c r="D12" s="7">
        <v>60</v>
      </c>
      <c r="E12" s="7" t="s">
        <v>5</v>
      </c>
      <c r="F12" s="7" t="s">
        <v>955</v>
      </c>
      <c r="G12" s="7" t="s">
        <v>956</v>
      </c>
      <c r="H12" s="7">
        <f t="shared" si="0"/>
        <v>6</v>
      </c>
    </row>
    <row r="13" spans="1:8" ht="25" customHeight="1" x14ac:dyDescent="0.35">
      <c r="A13" s="7" t="s">
        <v>957</v>
      </c>
      <c r="B13" s="7" t="s">
        <v>958</v>
      </c>
      <c r="C13" s="7" t="s">
        <v>4</v>
      </c>
      <c r="D13" s="7">
        <v>20</v>
      </c>
      <c r="E13" s="7" t="s">
        <v>5</v>
      </c>
      <c r="F13" s="7" t="s">
        <v>959</v>
      </c>
      <c r="G13" s="7" t="s">
        <v>960</v>
      </c>
      <c r="H13" s="7">
        <f t="shared" si="0"/>
        <v>2</v>
      </c>
    </row>
    <row r="14" spans="1:8" ht="25" customHeight="1" x14ac:dyDescent="0.35">
      <c r="A14" s="7" t="s">
        <v>961</v>
      </c>
      <c r="B14" s="7" t="s">
        <v>962</v>
      </c>
      <c r="C14" s="7" t="s">
        <v>4</v>
      </c>
      <c r="D14" s="7">
        <v>10</v>
      </c>
      <c r="E14" s="7" t="s">
        <v>5</v>
      </c>
      <c r="F14" s="7" t="s">
        <v>963</v>
      </c>
      <c r="G14" s="7" t="s">
        <v>964</v>
      </c>
      <c r="H14" s="7">
        <f t="shared" si="0"/>
        <v>1</v>
      </c>
    </row>
    <row r="15" spans="1:8" ht="25" customHeight="1" x14ac:dyDescent="0.35">
      <c r="A15" s="7" t="s">
        <v>965</v>
      </c>
      <c r="B15" s="7" t="s">
        <v>966</v>
      </c>
      <c r="C15" s="7" t="s">
        <v>53</v>
      </c>
      <c r="D15" s="7">
        <v>10</v>
      </c>
      <c r="E15" s="7" t="s">
        <v>5</v>
      </c>
      <c r="F15" s="7" t="s">
        <v>967</v>
      </c>
      <c r="G15" s="7" t="s">
        <v>968</v>
      </c>
      <c r="H15" s="7">
        <f t="shared" si="0"/>
        <v>1</v>
      </c>
    </row>
    <row r="16" spans="1:8" ht="25" customHeight="1" x14ac:dyDescent="0.35">
      <c r="A16" s="12" t="s">
        <v>841</v>
      </c>
      <c r="B16" s="7" t="s">
        <v>842</v>
      </c>
      <c r="C16" s="7" t="s">
        <v>53</v>
      </c>
      <c r="D16" s="7">
        <v>10</v>
      </c>
      <c r="E16" s="7" t="s">
        <v>5</v>
      </c>
      <c r="F16" s="7" t="s">
        <v>969</v>
      </c>
      <c r="G16" s="7" t="s">
        <v>970</v>
      </c>
      <c r="H16" s="7">
        <f t="shared" si="0"/>
        <v>1</v>
      </c>
    </row>
    <row r="17" spans="1:9" ht="25" customHeight="1" x14ac:dyDescent="0.35">
      <c r="A17" s="12" t="s">
        <v>837</v>
      </c>
      <c r="B17" s="7" t="s">
        <v>838</v>
      </c>
      <c r="C17" s="7" t="s">
        <v>53</v>
      </c>
      <c r="D17" s="7">
        <v>10</v>
      </c>
      <c r="E17" s="7" t="s">
        <v>5</v>
      </c>
      <c r="F17" s="7" t="s">
        <v>971</v>
      </c>
      <c r="G17" s="7" t="s">
        <v>972</v>
      </c>
      <c r="H17" s="7">
        <f t="shared" si="0"/>
        <v>1</v>
      </c>
    </row>
    <row r="18" spans="1:9" ht="25" customHeight="1" x14ac:dyDescent="0.35">
      <c r="A18" s="12" t="s">
        <v>973</v>
      </c>
      <c r="B18" s="7" t="s">
        <v>974</v>
      </c>
      <c r="C18" s="7" t="s">
        <v>53</v>
      </c>
      <c r="D18" s="7">
        <v>10</v>
      </c>
      <c r="E18" s="7" t="s">
        <v>5</v>
      </c>
      <c r="F18" s="7" t="s">
        <v>975</v>
      </c>
      <c r="G18" s="7" t="s">
        <v>976</v>
      </c>
      <c r="H18" s="7">
        <f t="shared" si="0"/>
        <v>1</v>
      </c>
    </row>
    <row r="19" spans="1:9" ht="25" customHeight="1" x14ac:dyDescent="0.35">
      <c r="A19" s="12" t="s">
        <v>558</v>
      </c>
      <c r="B19" s="7" t="s">
        <v>559</v>
      </c>
      <c r="C19" s="7" t="s">
        <v>53</v>
      </c>
      <c r="D19" s="7">
        <v>60</v>
      </c>
      <c r="E19" s="7" t="s">
        <v>5</v>
      </c>
      <c r="F19" s="7" t="s">
        <v>977</v>
      </c>
      <c r="G19" s="7" t="s">
        <v>978</v>
      </c>
      <c r="H19" s="7">
        <f t="shared" si="0"/>
        <v>6</v>
      </c>
    </row>
    <row r="20" spans="1:9" ht="25" customHeight="1" x14ac:dyDescent="0.35">
      <c r="A20" s="12" t="s">
        <v>76</v>
      </c>
      <c r="B20" s="7" t="s">
        <v>77</v>
      </c>
      <c r="C20" s="7" t="s">
        <v>53</v>
      </c>
      <c r="D20" s="7">
        <v>80</v>
      </c>
      <c r="E20" s="7" t="s">
        <v>5</v>
      </c>
      <c r="F20" s="7" t="s">
        <v>979</v>
      </c>
      <c r="G20" s="7" t="s">
        <v>980</v>
      </c>
      <c r="H20" s="7">
        <f t="shared" si="0"/>
        <v>8</v>
      </c>
    </row>
    <row r="21" spans="1:9" ht="25" customHeight="1" x14ac:dyDescent="0.35">
      <c r="A21" s="7" t="s">
        <v>981</v>
      </c>
      <c r="B21" s="7" t="s">
        <v>982</v>
      </c>
      <c r="C21" s="7" t="s">
        <v>4</v>
      </c>
      <c r="D21" s="7">
        <v>10</v>
      </c>
      <c r="E21" s="7" t="s">
        <v>5</v>
      </c>
      <c r="F21" s="7" t="s">
        <v>983</v>
      </c>
      <c r="G21" s="7" t="s">
        <v>984</v>
      </c>
      <c r="H21" s="7">
        <f t="shared" si="0"/>
        <v>1</v>
      </c>
    </row>
    <row r="22" spans="1:9" ht="25" customHeight="1" x14ac:dyDescent="0.35">
      <c r="A22" s="12" t="s">
        <v>985</v>
      </c>
      <c r="B22" s="7" t="s">
        <v>986</v>
      </c>
      <c r="C22" s="7" t="s">
        <v>4</v>
      </c>
      <c r="D22" s="7">
        <v>50</v>
      </c>
      <c r="E22" s="7" t="s">
        <v>5</v>
      </c>
      <c r="F22" s="7" t="s">
        <v>987</v>
      </c>
      <c r="G22" s="7" t="s">
        <v>988</v>
      </c>
      <c r="H22" s="7">
        <f t="shared" si="0"/>
        <v>5</v>
      </c>
    </row>
    <row r="23" spans="1:9" ht="25" customHeight="1" x14ac:dyDescent="0.35">
      <c r="A23" s="7" t="s">
        <v>989</v>
      </c>
      <c r="B23" s="7" t="s">
        <v>990</v>
      </c>
      <c r="C23" s="7" t="s">
        <v>4</v>
      </c>
      <c r="D23" s="7">
        <v>10</v>
      </c>
      <c r="E23" s="7" t="s">
        <v>5</v>
      </c>
      <c r="F23" s="7" t="s">
        <v>991</v>
      </c>
      <c r="G23" s="7" t="s">
        <v>992</v>
      </c>
      <c r="H23" s="7">
        <f t="shared" si="0"/>
        <v>1</v>
      </c>
    </row>
    <row r="24" spans="1:9" ht="25" customHeight="1" x14ac:dyDescent="0.35">
      <c r="A24" s="7" t="s">
        <v>794</v>
      </c>
      <c r="B24" s="7" t="s">
        <v>795</v>
      </c>
      <c r="C24" s="7" t="s">
        <v>4</v>
      </c>
      <c r="D24" s="7">
        <v>10</v>
      </c>
      <c r="E24" s="7" t="s">
        <v>5</v>
      </c>
      <c r="F24" s="7" t="s">
        <v>991</v>
      </c>
      <c r="G24" s="7" t="s">
        <v>992</v>
      </c>
      <c r="H24" s="7">
        <f t="shared" si="0"/>
        <v>1</v>
      </c>
    </row>
    <row r="25" spans="1:9" ht="25" customHeight="1" x14ac:dyDescent="0.35">
      <c r="A25" s="7" t="s">
        <v>993</v>
      </c>
      <c r="B25" s="7" t="s">
        <v>994</v>
      </c>
      <c r="C25" s="7" t="s">
        <v>4</v>
      </c>
      <c r="D25" s="7">
        <v>10</v>
      </c>
      <c r="E25" s="7" t="s">
        <v>5</v>
      </c>
      <c r="F25" s="7" t="s">
        <v>995</v>
      </c>
      <c r="G25" s="7" t="s">
        <v>996</v>
      </c>
      <c r="H25" s="7">
        <f t="shared" si="0"/>
        <v>1</v>
      </c>
    </row>
    <row r="26" spans="1:9" ht="25" customHeight="1" x14ac:dyDescent="0.35">
      <c r="A26" s="12" t="s">
        <v>997</v>
      </c>
      <c r="B26" s="7" t="s">
        <v>998</v>
      </c>
      <c r="C26" s="7" t="s">
        <v>4</v>
      </c>
      <c r="D26" s="7">
        <v>20</v>
      </c>
      <c r="E26" s="7" t="s">
        <v>5</v>
      </c>
      <c r="F26" s="7" t="s">
        <v>999</v>
      </c>
      <c r="G26" s="7" t="s">
        <v>1000</v>
      </c>
      <c r="H26" s="7">
        <f t="shared" si="0"/>
        <v>2</v>
      </c>
      <c r="I26" s="1" t="s">
        <v>3486</v>
      </c>
    </row>
    <row r="27" spans="1:9" ht="25" customHeight="1" x14ac:dyDescent="0.35">
      <c r="A27" s="12" t="s">
        <v>876</v>
      </c>
      <c r="B27" s="7" t="s">
        <v>877</v>
      </c>
      <c r="C27" s="7" t="s">
        <v>53</v>
      </c>
      <c r="D27" s="7">
        <v>10</v>
      </c>
      <c r="E27" s="7" t="s">
        <v>5</v>
      </c>
      <c r="F27" s="7" t="s">
        <v>1001</v>
      </c>
      <c r="G27" s="7" t="s">
        <v>1002</v>
      </c>
      <c r="H27" s="7">
        <f t="shared" si="0"/>
        <v>1</v>
      </c>
    </row>
    <row r="28" spans="1:9" ht="25" customHeight="1" x14ac:dyDescent="0.35">
      <c r="A28" s="7" t="s">
        <v>1003</v>
      </c>
      <c r="B28" s="7" t="s">
        <v>1004</v>
      </c>
      <c r="C28" s="7" t="s">
        <v>53</v>
      </c>
      <c r="D28" s="7">
        <v>10</v>
      </c>
      <c r="E28" s="7" t="s">
        <v>5</v>
      </c>
      <c r="F28" s="7" t="s">
        <v>1005</v>
      </c>
      <c r="G28" s="7" t="s">
        <v>1006</v>
      </c>
      <c r="H28" s="7">
        <f t="shared" si="0"/>
        <v>1</v>
      </c>
    </row>
    <row r="29" spans="1:9" ht="25" customHeight="1" x14ac:dyDescent="0.35">
      <c r="A29" s="7" t="s">
        <v>872</v>
      </c>
      <c r="B29" s="7" t="s">
        <v>873</v>
      </c>
      <c r="C29" s="7" t="s">
        <v>53</v>
      </c>
      <c r="D29" s="7">
        <v>10</v>
      </c>
      <c r="E29" s="7" t="s">
        <v>5</v>
      </c>
      <c r="F29" s="7" t="s">
        <v>1007</v>
      </c>
      <c r="G29" s="7" t="s">
        <v>1008</v>
      </c>
      <c r="H29" s="7">
        <f t="shared" si="0"/>
        <v>1</v>
      </c>
    </row>
    <row r="30" spans="1:9" ht="25" customHeight="1" x14ac:dyDescent="0.35">
      <c r="A30" s="12" t="s">
        <v>1009</v>
      </c>
      <c r="B30" s="7" t="s">
        <v>1010</v>
      </c>
      <c r="C30" s="7" t="s">
        <v>4</v>
      </c>
      <c r="D30" s="7">
        <v>10</v>
      </c>
      <c r="E30" s="7" t="s">
        <v>5</v>
      </c>
      <c r="F30" s="7" t="s">
        <v>1011</v>
      </c>
      <c r="G30" s="7" t="s">
        <v>1012</v>
      </c>
      <c r="H30" s="7">
        <f t="shared" si="0"/>
        <v>1</v>
      </c>
    </row>
    <row r="31" spans="1:9" ht="25" customHeight="1" x14ac:dyDescent="0.35">
      <c r="A31" s="7" t="s">
        <v>1013</v>
      </c>
      <c r="B31" s="7" t="s">
        <v>1014</v>
      </c>
      <c r="C31" s="7" t="s">
        <v>4</v>
      </c>
      <c r="D31" s="7">
        <v>10</v>
      </c>
      <c r="E31" s="7" t="s">
        <v>5</v>
      </c>
      <c r="F31" s="7" t="s">
        <v>1011</v>
      </c>
      <c r="G31" s="7" t="s">
        <v>1012</v>
      </c>
      <c r="H31" s="7">
        <f t="shared" si="0"/>
        <v>1</v>
      </c>
    </row>
    <row r="32" spans="1:9" ht="25" customHeight="1" x14ac:dyDescent="0.35">
      <c r="A32" s="12" t="s">
        <v>1015</v>
      </c>
      <c r="B32" s="7" t="s">
        <v>1016</v>
      </c>
      <c r="C32" s="7" t="s">
        <v>4</v>
      </c>
      <c r="D32" s="7">
        <v>10</v>
      </c>
      <c r="E32" s="7" t="s">
        <v>5</v>
      </c>
      <c r="F32" s="7" t="s">
        <v>1017</v>
      </c>
      <c r="G32" s="7" t="s">
        <v>1018</v>
      </c>
      <c r="H32" s="7">
        <f t="shared" si="0"/>
        <v>1</v>
      </c>
    </row>
    <row r="33" spans="1:8" ht="25" customHeight="1" x14ac:dyDescent="0.35">
      <c r="A33" s="12" t="s">
        <v>1019</v>
      </c>
      <c r="B33" s="7" t="s">
        <v>1020</v>
      </c>
      <c r="C33" s="7" t="s">
        <v>4</v>
      </c>
      <c r="D33" s="7">
        <v>10</v>
      </c>
      <c r="E33" s="7" t="s">
        <v>5</v>
      </c>
      <c r="F33" s="7" t="s">
        <v>1021</v>
      </c>
      <c r="G33" s="7" t="s">
        <v>1022</v>
      </c>
      <c r="H33" s="7">
        <f t="shared" si="0"/>
        <v>1</v>
      </c>
    </row>
    <row r="34" spans="1:8" ht="25" customHeight="1" x14ac:dyDescent="0.35">
      <c r="A34" s="12" t="s">
        <v>1023</v>
      </c>
      <c r="B34" s="7" t="s">
        <v>1024</v>
      </c>
      <c r="C34" s="7" t="s">
        <v>4</v>
      </c>
      <c r="D34" s="7">
        <v>10</v>
      </c>
      <c r="E34" s="7" t="s">
        <v>5</v>
      </c>
      <c r="F34" s="7" t="s">
        <v>1025</v>
      </c>
      <c r="G34" s="7" t="s">
        <v>1026</v>
      </c>
      <c r="H34" s="7">
        <f t="shared" si="0"/>
        <v>1</v>
      </c>
    </row>
    <row r="35" spans="1:8" ht="25" customHeight="1" x14ac:dyDescent="0.35">
      <c r="A35" s="7" t="s">
        <v>1027</v>
      </c>
      <c r="B35" s="7" t="s">
        <v>1028</v>
      </c>
      <c r="C35" s="7" t="s">
        <v>4</v>
      </c>
      <c r="D35" s="7">
        <v>10</v>
      </c>
      <c r="E35" s="7" t="s">
        <v>5</v>
      </c>
      <c r="F35" s="7" t="s">
        <v>1029</v>
      </c>
      <c r="G35" s="7" t="s">
        <v>1030</v>
      </c>
      <c r="H35" s="7">
        <f t="shared" si="0"/>
        <v>1</v>
      </c>
    </row>
    <row r="36" spans="1:8" ht="25" customHeight="1" x14ac:dyDescent="0.35">
      <c r="A36" s="7" t="s">
        <v>1031</v>
      </c>
      <c r="B36" s="7" t="s">
        <v>1032</v>
      </c>
      <c r="C36" s="7" t="s">
        <v>4</v>
      </c>
      <c r="D36" s="7">
        <v>10</v>
      </c>
      <c r="E36" s="7" t="s">
        <v>5</v>
      </c>
      <c r="F36" s="7" t="s">
        <v>1033</v>
      </c>
      <c r="G36" s="7" t="s">
        <v>1034</v>
      </c>
      <c r="H36" s="7">
        <f t="shared" si="0"/>
        <v>1</v>
      </c>
    </row>
    <row r="37" spans="1:8" ht="25" customHeight="1" x14ac:dyDescent="0.35">
      <c r="A37" s="12" t="s">
        <v>1035</v>
      </c>
      <c r="B37" s="7" t="s">
        <v>1036</v>
      </c>
      <c r="C37" s="7" t="s">
        <v>4</v>
      </c>
      <c r="D37" s="7">
        <v>10</v>
      </c>
      <c r="E37" s="7" t="s">
        <v>5</v>
      </c>
      <c r="F37" s="7" t="s">
        <v>1037</v>
      </c>
      <c r="G37" s="7" t="s">
        <v>1038</v>
      </c>
      <c r="H37" s="7">
        <f t="shared" si="0"/>
        <v>1</v>
      </c>
    </row>
    <row r="38" spans="1:8" ht="25" customHeight="1" x14ac:dyDescent="0.35">
      <c r="A38" s="12" t="s">
        <v>1039</v>
      </c>
      <c r="B38" s="7" t="s">
        <v>1040</v>
      </c>
      <c r="C38" s="7" t="s">
        <v>4</v>
      </c>
      <c r="D38" s="7">
        <v>10</v>
      </c>
      <c r="E38" s="7" t="s">
        <v>5</v>
      </c>
      <c r="F38" s="7" t="s">
        <v>1041</v>
      </c>
      <c r="G38" s="7" t="s">
        <v>1042</v>
      </c>
      <c r="H38" s="7">
        <f t="shared" si="0"/>
        <v>1</v>
      </c>
    </row>
    <row r="39" spans="1:8" ht="25" customHeight="1" x14ac:dyDescent="0.35">
      <c r="A39" s="7" t="s">
        <v>1043</v>
      </c>
      <c r="B39" s="7" t="s">
        <v>1044</v>
      </c>
      <c r="C39" s="7" t="s">
        <v>4</v>
      </c>
      <c r="D39" s="7">
        <v>10</v>
      </c>
      <c r="E39" s="7" t="s">
        <v>5</v>
      </c>
      <c r="F39" s="7" t="s">
        <v>1045</v>
      </c>
      <c r="G39" s="7" t="s">
        <v>1046</v>
      </c>
      <c r="H39" s="7">
        <f t="shared" si="0"/>
        <v>1</v>
      </c>
    </row>
    <row r="40" spans="1:8" ht="25" customHeight="1" x14ac:dyDescent="0.35">
      <c r="A40" s="7" t="s">
        <v>1047</v>
      </c>
      <c r="B40" s="7" t="s">
        <v>1048</v>
      </c>
      <c r="C40" s="7" t="s">
        <v>4</v>
      </c>
      <c r="D40" s="7">
        <v>10</v>
      </c>
      <c r="E40" s="7" t="s">
        <v>5</v>
      </c>
      <c r="F40" s="7" t="s">
        <v>1049</v>
      </c>
      <c r="G40" s="7" t="s">
        <v>1050</v>
      </c>
      <c r="H40" s="7">
        <f t="shared" si="0"/>
        <v>1</v>
      </c>
    </row>
    <row r="41" spans="1:8" ht="25" customHeight="1" x14ac:dyDescent="0.35">
      <c r="A41" s="12" t="s">
        <v>1051</v>
      </c>
      <c r="B41" s="7" t="s">
        <v>1052</v>
      </c>
      <c r="C41" s="7" t="s">
        <v>4</v>
      </c>
      <c r="D41" s="7">
        <v>10</v>
      </c>
      <c r="E41" s="7" t="s">
        <v>5</v>
      </c>
      <c r="F41" s="7" t="s">
        <v>1053</v>
      </c>
      <c r="G41" s="7" t="s">
        <v>1054</v>
      </c>
      <c r="H41" s="7">
        <f t="shared" si="0"/>
        <v>1</v>
      </c>
    </row>
    <row r="42" spans="1:8" ht="25" customHeight="1" x14ac:dyDescent="0.35">
      <c r="A42" s="12" t="s">
        <v>1055</v>
      </c>
      <c r="B42" s="7" t="s">
        <v>1056</v>
      </c>
      <c r="C42" s="7" t="s">
        <v>4</v>
      </c>
      <c r="D42" s="7">
        <v>10</v>
      </c>
      <c r="E42" s="7" t="s">
        <v>5</v>
      </c>
      <c r="F42" s="7" t="s">
        <v>1053</v>
      </c>
      <c r="G42" s="7" t="s">
        <v>1054</v>
      </c>
      <c r="H42" s="7">
        <f t="shared" si="0"/>
        <v>1</v>
      </c>
    </row>
    <row r="43" spans="1:8" ht="25" customHeight="1" x14ac:dyDescent="0.35">
      <c r="A43" s="12" t="s">
        <v>1057</v>
      </c>
      <c r="B43" s="7" t="s">
        <v>1058</v>
      </c>
      <c r="C43" s="7" t="s">
        <v>4</v>
      </c>
      <c r="D43" s="7">
        <v>10</v>
      </c>
      <c r="E43" s="7" t="s">
        <v>5</v>
      </c>
      <c r="F43" s="7" t="s">
        <v>1059</v>
      </c>
      <c r="G43" s="7" t="s">
        <v>1060</v>
      </c>
      <c r="H43" s="7">
        <f t="shared" si="0"/>
        <v>1</v>
      </c>
    </row>
    <row r="44" spans="1:8" ht="25" customHeight="1" x14ac:dyDescent="0.35">
      <c r="A44" s="7" t="s">
        <v>1061</v>
      </c>
      <c r="B44" s="7" t="s">
        <v>1062</v>
      </c>
      <c r="C44" s="7" t="s">
        <v>4</v>
      </c>
      <c r="D44" s="7">
        <v>10</v>
      </c>
      <c r="E44" s="7" t="s">
        <v>5</v>
      </c>
      <c r="F44" s="7" t="s">
        <v>1063</v>
      </c>
      <c r="G44" s="7" t="s">
        <v>1064</v>
      </c>
      <c r="H44" s="7">
        <f t="shared" si="0"/>
        <v>1</v>
      </c>
    </row>
    <row r="45" spans="1:8" ht="25" customHeight="1" x14ac:dyDescent="0.35">
      <c r="A45" s="7" t="s">
        <v>1065</v>
      </c>
      <c r="B45" s="7" t="s">
        <v>1066</v>
      </c>
      <c r="C45" s="7" t="s">
        <v>4</v>
      </c>
      <c r="D45" s="7">
        <v>10</v>
      </c>
      <c r="E45" s="7" t="s">
        <v>5</v>
      </c>
      <c r="F45" s="7" t="s">
        <v>1067</v>
      </c>
      <c r="G45" s="7" t="s">
        <v>1068</v>
      </c>
      <c r="H45" s="7">
        <f t="shared" si="0"/>
        <v>1</v>
      </c>
    </row>
    <row r="46" spans="1:8" ht="25" customHeight="1" x14ac:dyDescent="0.35">
      <c r="A46" s="12" t="s">
        <v>1069</v>
      </c>
      <c r="B46" s="7" t="s">
        <v>1070</v>
      </c>
      <c r="C46" s="7" t="s">
        <v>53</v>
      </c>
      <c r="D46" s="7">
        <v>10</v>
      </c>
      <c r="E46" s="7" t="s">
        <v>5</v>
      </c>
      <c r="F46" s="7" t="s">
        <v>1071</v>
      </c>
      <c r="G46" s="7" t="s">
        <v>1072</v>
      </c>
      <c r="H46" s="7">
        <f t="shared" si="0"/>
        <v>1</v>
      </c>
    </row>
    <row r="47" spans="1:8" ht="25" customHeight="1" x14ac:dyDescent="0.35">
      <c r="A47" s="12" t="s">
        <v>1073</v>
      </c>
      <c r="B47" s="7" t="s">
        <v>1074</v>
      </c>
      <c r="C47" s="7" t="s">
        <v>53</v>
      </c>
      <c r="D47" s="7">
        <v>10</v>
      </c>
      <c r="E47" s="7" t="s">
        <v>5</v>
      </c>
      <c r="F47" s="7" t="s">
        <v>1071</v>
      </c>
      <c r="G47" s="7" t="s">
        <v>1072</v>
      </c>
      <c r="H47" s="7">
        <f t="shared" si="0"/>
        <v>1</v>
      </c>
    </row>
    <row r="48" spans="1:8" ht="25" customHeight="1" x14ac:dyDescent="0.35">
      <c r="A48" s="7" t="s">
        <v>1075</v>
      </c>
      <c r="B48" s="7" t="s">
        <v>1076</v>
      </c>
      <c r="C48" s="7" t="s">
        <v>53</v>
      </c>
      <c r="D48" s="7">
        <v>10</v>
      </c>
      <c r="E48" s="7" t="s">
        <v>5</v>
      </c>
      <c r="F48" s="7" t="s">
        <v>1077</v>
      </c>
      <c r="G48" s="7" t="s">
        <v>1078</v>
      </c>
      <c r="H48" s="7">
        <f t="shared" si="0"/>
        <v>1</v>
      </c>
    </row>
    <row r="49" spans="1:8" ht="25" customHeight="1" x14ac:dyDescent="0.35">
      <c r="A49" s="7" t="s">
        <v>1079</v>
      </c>
      <c r="B49" s="7" t="s">
        <v>1080</v>
      </c>
      <c r="C49" s="7" t="s">
        <v>53</v>
      </c>
      <c r="D49" s="7">
        <v>10</v>
      </c>
      <c r="E49" s="7" t="s">
        <v>5</v>
      </c>
      <c r="F49" s="7" t="s">
        <v>1077</v>
      </c>
      <c r="G49" s="7" t="s">
        <v>1078</v>
      </c>
      <c r="H49" s="7">
        <f t="shared" si="0"/>
        <v>1</v>
      </c>
    </row>
    <row r="50" spans="1:8" ht="25" customHeight="1" x14ac:dyDescent="0.35">
      <c r="A50" s="7" t="s">
        <v>1081</v>
      </c>
      <c r="B50" s="7" t="s">
        <v>1082</v>
      </c>
      <c r="C50" s="7" t="s">
        <v>53</v>
      </c>
      <c r="D50" s="7">
        <v>10</v>
      </c>
      <c r="E50" s="7" t="s">
        <v>5</v>
      </c>
      <c r="F50" s="7" t="s">
        <v>1077</v>
      </c>
      <c r="G50" s="7" t="s">
        <v>1078</v>
      </c>
      <c r="H50" s="7">
        <f t="shared" si="0"/>
        <v>1</v>
      </c>
    </row>
    <row r="51" spans="1:8" ht="25" customHeight="1" x14ac:dyDescent="0.35">
      <c r="A51" s="12" t="s">
        <v>1083</v>
      </c>
      <c r="B51" s="7" t="s">
        <v>1084</v>
      </c>
      <c r="C51" s="7" t="s">
        <v>53</v>
      </c>
      <c r="D51" s="7">
        <v>60</v>
      </c>
      <c r="E51" s="7" t="s">
        <v>5</v>
      </c>
      <c r="F51" s="7" t="s">
        <v>1085</v>
      </c>
      <c r="G51" s="7" t="s">
        <v>1086</v>
      </c>
      <c r="H51" s="7">
        <f t="shared" si="0"/>
        <v>6</v>
      </c>
    </row>
    <row r="52" spans="1:8" ht="25" customHeight="1" x14ac:dyDescent="0.35">
      <c r="A52" s="12" t="s">
        <v>1087</v>
      </c>
      <c r="B52" s="7" t="s">
        <v>1088</v>
      </c>
      <c r="C52" s="7" t="s">
        <v>4</v>
      </c>
      <c r="D52" s="7">
        <v>60</v>
      </c>
      <c r="E52" s="7" t="s">
        <v>5</v>
      </c>
      <c r="F52" s="7" t="s">
        <v>1089</v>
      </c>
      <c r="G52" s="7" t="s">
        <v>1090</v>
      </c>
      <c r="H52" s="7">
        <f t="shared" si="0"/>
        <v>6</v>
      </c>
    </row>
    <row r="53" spans="1:8" ht="25" customHeight="1" x14ac:dyDescent="0.35">
      <c r="A53" s="12" t="s">
        <v>835</v>
      </c>
      <c r="B53" s="7" t="s">
        <v>836</v>
      </c>
      <c r="C53" s="7" t="s">
        <v>4</v>
      </c>
      <c r="D53" s="7">
        <v>20</v>
      </c>
      <c r="E53" s="7" t="s">
        <v>5</v>
      </c>
      <c r="F53" s="7" t="s">
        <v>1091</v>
      </c>
      <c r="G53" s="7" t="s">
        <v>1092</v>
      </c>
      <c r="H53" s="7">
        <f t="shared" si="0"/>
        <v>2</v>
      </c>
    </row>
    <row r="54" spans="1:8" ht="25" customHeight="1" x14ac:dyDescent="0.35">
      <c r="A54" s="12" t="s">
        <v>1093</v>
      </c>
      <c r="B54" s="7" t="s">
        <v>1094</v>
      </c>
      <c r="C54" s="7" t="s">
        <v>4</v>
      </c>
      <c r="D54" s="7">
        <v>20</v>
      </c>
      <c r="E54" s="7" t="s">
        <v>5</v>
      </c>
      <c r="F54" s="7" t="s">
        <v>1095</v>
      </c>
      <c r="G54" s="7" t="s">
        <v>1096</v>
      </c>
      <c r="H54" s="7">
        <f t="shared" si="0"/>
        <v>2</v>
      </c>
    </row>
    <row r="55" spans="1:8" ht="25" customHeight="1" x14ac:dyDescent="0.35">
      <c r="A55" s="12" t="s">
        <v>51</v>
      </c>
      <c r="B55" s="7" t="s">
        <v>52</v>
      </c>
      <c r="C55" s="7" t="s">
        <v>53</v>
      </c>
      <c r="D55" s="7">
        <v>60</v>
      </c>
      <c r="E55" s="7" t="s">
        <v>5</v>
      </c>
      <c r="F55" s="7" t="s">
        <v>430</v>
      </c>
      <c r="G55" s="7" t="s">
        <v>1097</v>
      </c>
      <c r="H55" s="7">
        <f t="shared" si="0"/>
        <v>6</v>
      </c>
    </row>
    <row r="56" spans="1:8" ht="25" customHeight="1" x14ac:dyDescent="0.35">
      <c r="A56" s="12" t="s">
        <v>1098</v>
      </c>
      <c r="B56" s="7" t="s">
        <v>1099</v>
      </c>
      <c r="C56" s="7" t="s">
        <v>53</v>
      </c>
      <c r="D56" s="7">
        <v>60</v>
      </c>
      <c r="E56" s="7" t="s">
        <v>5</v>
      </c>
      <c r="F56" s="7" t="s">
        <v>1100</v>
      </c>
      <c r="G56" s="7" t="s">
        <v>1101</v>
      </c>
      <c r="H56" s="7">
        <f t="shared" si="0"/>
        <v>6</v>
      </c>
    </row>
    <row r="57" spans="1:8" ht="25" customHeight="1" x14ac:dyDescent="0.35">
      <c r="A57" s="12" t="s">
        <v>633</v>
      </c>
      <c r="B57" s="7" t="s">
        <v>634</v>
      </c>
      <c r="C57" s="7" t="s">
        <v>4</v>
      </c>
      <c r="D57" s="7">
        <v>10</v>
      </c>
      <c r="E57" s="7" t="s">
        <v>5</v>
      </c>
      <c r="F57" s="7" t="s">
        <v>1102</v>
      </c>
      <c r="G57" s="7" t="s">
        <v>1103</v>
      </c>
      <c r="H57" s="7">
        <f t="shared" si="0"/>
        <v>1</v>
      </c>
    </row>
    <row r="58" spans="1:8" ht="25" customHeight="1" x14ac:dyDescent="0.35">
      <c r="A58" s="7" t="s">
        <v>531</v>
      </c>
      <c r="B58" s="7" t="s">
        <v>532</v>
      </c>
      <c r="C58" s="7" t="s">
        <v>4</v>
      </c>
      <c r="D58" s="7">
        <v>10</v>
      </c>
      <c r="E58" s="7" t="s">
        <v>5</v>
      </c>
      <c r="F58" s="7" t="s">
        <v>1104</v>
      </c>
      <c r="G58" s="7" t="s">
        <v>1105</v>
      </c>
      <c r="H58" s="7">
        <f t="shared" si="0"/>
        <v>1</v>
      </c>
    </row>
    <row r="59" spans="1:8" ht="25" customHeight="1" x14ac:dyDescent="0.35">
      <c r="A59" s="12" t="s">
        <v>637</v>
      </c>
      <c r="B59" s="7" t="s">
        <v>638</v>
      </c>
      <c r="C59" s="7" t="s">
        <v>4</v>
      </c>
      <c r="D59" s="7">
        <v>10</v>
      </c>
      <c r="E59" s="7" t="s">
        <v>5</v>
      </c>
      <c r="F59" s="7" t="s">
        <v>1106</v>
      </c>
      <c r="G59" s="7" t="s">
        <v>1107</v>
      </c>
      <c r="H59" s="7">
        <f t="shared" si="0"/>
        <v>1</v>
      </c>
    </row>
    <row r="60" spans="1:8" ht="25" customHeight="1" x14ac:dyDescent="0.35">
      <c r="A60" s="12" t="s">
        <v>1108</v>
      </c>
      <c r="B60" s="7" t="s">
        <v>1109</v>
      </c>
      <c r="C60" s="7" t="s">
        <v>4</v>
      </c>
      <c r="D60" s="7">
        <v>10</v>
      </c>
      <c r="E60" s="7" t="s">
        <v>5</v>
      </c>
      <c r="F60" s="7" t="s">
        <v>1110</v>
      </c>
      <c r="G60" s="7" t="s">
        <v>1111</v>
      </c>
      <c r="H60" s="7">
        <f t="shared" si="0"/>
        <v>1</v>
      </c>
    </row>
    <row r="61" spans="1:8" ht="25" customHeight="1" x14ac:dyDescent="0.35">
      <c r="A61" s="12" t="s">
        <v>687</v>
      </c>
      <c r="B61" s="7" t="s">
        <v>688</v>
      </c>
      <c r="C61" s="7" t="s">
        <v>4</v>
      </c>
      <c r="D61" s="7">
        <v>20</v>
      </c>
      <c r="E61" s="7" t="s">
        <v>5</v>
      </c>
      <c r="F61" s="7" t="s">
        <v>1112</v>
      </c>
      <c r="G61" s="7" t="s">
        <v>1113</v>
      </c>
      <c r="H61" s="7">
        <f t="shared" si="0"/>
        <v>2</v>
      </c>
    </row>
    <row r="62" spans="1:8" ht="25" customHeight="1" x14ac:dyDescent="0.35">
      <c r="A62" s="7" t="s">
        <v>566</v>
      </c>
      <c r="B62" s="7" t="s">
        <v>567</v>
      </c>
      <c r="C62" s="7" t="s">
        <v>4</v>
      </c>
      <c r="D62" s="7">
        <v>20</v>
      </c>
      <c r="E62" s="7" t="s">
        <v>5</v>
      </c>
      <c r="F62" s="7" t="s">
        <v>1114</v>
      </c>
      <c r="G62" s="7" t="s">
        <v>1115</v>
      </c>
      <c r="H62" s="7">
        <f t="shared" si="0"/>
        <v>2</v>
      </c>
    </row>
    <row r="63" spans="1:8" ht="25" customHeight="1" x14ac:dyDescent="0.35">
      <c r="A63" s="7" t="s">
        <v>1116</v>
      </c>
      <c r="B63" s="7" t="s">
        <v>1117</v>
      </c>
      <c r="C63" s="7" t="s">
        <v>4</v>
      </c>
      <c r="D63" s="7">
        <v>10</v>
      </c>
      <c r="E63" s="7" t="s">
        <v>5</v>
      </c>
      <c r="F63" s="7" t="s">
        <v>1118</v>
      </c>
      <c r="G63" s="7" t="s">
        <v>1119</v>
      </c>
      <c r="H63" s="7">
        <f t="shared" si="0"/>
        <v>1</v>
      </c>
    </row>
    <row r="64" spans="1:8" ht="25" customHeight="1" x14ac:dyDescent="0.35">
      <c r="A64" s="12" t="s">
        <v>1120</v>
      </c>
      <c r="B64" s="7" t="s">
        <v>1121</v>
      </c>
      <c r="C64" s="7" t="s">
        <v>4</v>
      </c>
      <c r="D64" s="7">
        <v>10</v>
      </c>
      <c r="E64" s="7" t="s">
        <v>5</v>
      </c>
      <c r="F64" s="7" t="s">
        <v>1122</v>
      </c>
      <c r="G64" s="7" t="s">
        <v>1123</v>
      </c>
      <c r="H64" s="7">
        <f t="shared" si="0"/>
        <v>1</v>
      </c>
    </row>
    <row r="65" spans="1:8" ht="25" customHeight="1" x14ac:dyDescent="0.35">
      <c r="A65" s="12" t="s">
        <v>498</v>
      </c>
      <c r="B65" s="7" t="s">
        <v>499</v>
      </c>
      <c r="C65" s="7" t="s">
        <v>500</v>
      </c>
      <c r="D65" s="7">
        <v>20</v>
      </c>
      <c r="E65" s="7" t="s">
        <v>5</v>
      </c>
      <c r="F65" s="7" t="s">
        <v>1124</v>
      </c>
      <c r="G65" s="7" t="s">
        <v>1125</v>
      </c>
      <c r="H65" s="7">
        <f t="shared" si="0"/>
        <v>2</v>
      </c>
    </row>
    <row r="66" spans="1:8" ht="25" customHeight="1" x14ac:dyDescent="0.35">
      <c r="A66" s="12" t="s">
        <v>1126</v>
      </c>
      <c r="B66" s="7" t="s">
        <v>1127</v>
      </c>
      <c r="C66" s="7" t="s">
        <v>4</v>
      </c>
      <c r="D66" s="7">
        <v>20</v>
      </c>
      <c r="E66" s="7" t="s">
        <v>5</v>
      </c>
      <c r="F66" s="7" t="s">
        <v>1128</v>
      </c>
      <c r="G66" s="7" t="s">
        <v>1129</v>
      </c>
      <c r="H66" s="7">
        <f t="shared" si="0"/>
        <v>2</v>
      </c>
    </row>
    <row r="67" spans="1:8" ht="25" customHeight="1" x14ac:dyDescent="0.35">
      <c r="A67" s="12" t="s">
        <v>1130</v>
      </c>
      <c r="B67" s="7" t="s">
        <v>1131</v>
      </c>
      <c r="C67" s="7" t="s">
        <v>4</v>
      </c>
      <c r="D67" s="7">
        <v>20</v>
      </c>
      <c r="E67" s="7" t="s">
        <v>5</v>
      </c>
      <c r="F67" s="7" t="s">
        <v>1132</v>
      </c>
      <c r="G67" s="7" t="s">
        <v>1133</v>
      </c>
      <c r="H67" s="7">
        <f t="shared" ref="H67:H76" si="1">D67/10</f>
        <v>2</v>
      </c>
    </row>
    <row r="68" spans="1:8" ht="25" customHeight="1" x14ac:dyDescent="0.35">
      <c r="A68" s="12" t="s">
        <v>600</v>
      </c>
      <c r="B68" s="7" t="s">
        <v>601</v>
      </c>
      <c r="C68" s="7" t="s">
        <v>53</v>
      </c>
      <c r="D68" s="7">
        <v>40</v>
      </c>
      <c r="E68" s="7" t="s">
        <v>5</v>
      </c>
      <c r="F68" s="7" t="s">
        <v>1134</v>
      </c>
      <c r="G68" s="7" t="s">
        <v>1135</v>
      </c>
      <c r="H68" s="7">
        <f t="shared" si="1"/>
        <v>4</v>
      </c>
    </row>
    <row r="69" spans="1:8" ht="25" customHeight="1" x14ac:dyDescent="0.35">
      <c r="A69" s="12" t="s">
        <v>1136</v>
      </c>
      <c r="B69" s="7" t="s">
        <v>1137</v>
      </c>
      <c r="C69" s="7" t="s">
        <v>4</v>
      </c>
      <c r="D69" s="7">
        <v>10</v>
      </c>
      <c r="E69" s="7" t="s">
        <v>5</v>
      </c>
      <c r="F69" s="7" t="s">
        <v>1138</v>
      </c>
      <c r="G69" s="7" t="s">
        <v>1139</v>
      </c>
      <c r="H69" s="7">
        <f t="shared" si="1"/>
        <v>1</v>
      </c>
    </row>
    <row r="70" spans="1:8" ht="25" customHeight="1" x14ac:dyDescent="0.35">
      <c r="A70" s="12" t="s">
        <v>1140</v>
      </c>
      <c r="B70" s="7" t="s">
        <v>1141</v>
      </c>
      <c r="C70" s="7" t="s">
        <v>4</v>
      </c>
      <c r="D70" s="7">
        <v>10</v>
      </c>
      <c r="E70" s="7" t="s">
        <v>5</v>
      </c>
      <c r="F70" s="7" t="s">
        <v>1142</v>
      </c>
      <c r="G70" s="7" t="s">
        <v>1143</v>
      </c>
      <c r="H70" s="7">
        <f t="shared" si="1"/>
        <v>1</v>
      </c>
    </row>
    <row r="71" spans="1:8" ht="25" customHeight="1" x14ac:dyDescent="0.35">
      <c r="A71" s="12" t="s">
        <v>1144</v>
      </c>
      <c r="B71" s="7" t="s">
        <v>1145</v>
      </c>
      <c r="C71" s="7" t="s">
        <v>53</v>
      </c>
      <c r="D71" s="7">
        <v>40</v>
      </c>
      <c r="E71" s="7" t="s">
        <v>5</v>
      </c>
      <c r="F71" s="7" t="s">
        <v>1146</v>
      </c>
      <c r="G71" s="7" t="s">
        <v>1147</v>
      </c>
      <c r="H71" s="7">
        <f t="shared" si="1"/>
        <v>4</v>
      </c>
    </row>
    <row r="72" spans="1:8" ht="25" customHeight="1" x14ac:dyDescent="0.35">
      <c r="A72" s="7" t="s">
        <v>1148</v>
      </c>
      <c r="B72" s="7" t="s">
        <v>1149</v>
      </c>
      <c r="C72" s="7" t="s">
        <v>53</v>
      </c>
      <c r="D72" s="7">
        <v>10</v>
      </c>
      <c r="E72" s="7" t="s">
        <v>5</v>
      </c>
      <c r="F72" s="7" t="s">
        <v>1150</v>
      </c>
      <c r="G72" s="7" t="s">
        <v>1151</v>
      </c>
      <c r="H72" s="7">
        <f t="shared" si="1"/>
        <v>1</v>
      </c>
    </row>
    <row r="73" spans="1:8" ht="25" customHeight="1" x14ac:dyDescent="0.35">
      <c r="A73" s="7" t="s">
        <v>1152</v>
      </c>
      <c r="B73" s="7" t="s">
        <v>1153</v>
      </c>
      <c r="C73" s="7" t="s">
        <v>53</v>
      </c>
      <c r="D73" s="7">
        <v>10</v>
      </c>
      <c r="E73" s="7" t="s">
        <v>5</v>
      </c>
      <c r="F73" s="7" t="s">
        <v>1150</v>
      </c>
      <c r="G73" s="7" t="s">
        <v>1151</v>
      </c>
      <c r="H73" s="7">
        <f t="shared" si="1"/>
        <v>1</v>
      </c>
    </row>
    <row r="74" spans="1:8" ht="25" customHeight="1" x14ac:dyDescent="0.35">
      <c r="A74" s="12" t="s">
        <v>1154</v>
      </c>
      <c r="B74" s="7" t="s">
        <v>1155</v>
      </c>
      <c r="C74" s="7" t="s">
        <v>4</v>
      </c>
      <c r="D74" s="7">
        <v>20</v>
      </c>
      <c r="E74" s="7" t="s">
        <v>5</v>
      </c>
      <c r="F74" s="7" t="s">
        <v>1156</v>
      </c>
      <c r="G74" s="7" t="s">
        <v>1157</v>
      </c>
      <c r="H74" s="7">
        <f t="shared" si="1"/>
        <v>2</v>
      </c>
    </row>
    <row r="75" spans="1:8" ht="25" customHeight="1" x14ac:dyDescent="0.35">
      <c r="A75" s="12" t="s">
        <v>1158</v>
      </c>
      <c r="B75" s="7" t="s">
        <v>1159</v>
      </c>
      <c r="C75" s="7" t="s">
        <v>4</v>
      </c>
      <c r="D75" s="7">
        <v>20</v>
      </c>
      <c r="E75" s="7" t="s">
        <v>5</v>
      </c>
      <c r="F75" s="7" t="s">
        <v>1160</v>
      </c>
      <c r="G75" s="7" t="s">
        <v>1161</v>
      </c>
      <c r="H75" s="7">
        <f t="shared" si="1"/>
        <v>2</v>
      </c>
    </row>
    <row r="76" spans="1:8" ht="25" customHeight="1" x14ac:dyDescent="0.35">
      <c r="A76" s="7" t="s">
        <v>1162</v>
      </c>
      <c r="B76" s="7" t="s">
        <v>1163</v>
      </c>
      <c r="C76" s="7" t="s">
        <v>4</v>
      </c>
      <c r="D76" s="7">
        <v>10</v>
      </c>
      <c r="E76" s="7" t="s">
        <v>5</v>
      </c>
      <c r="F76" s="7" t="s">
        <v>1164</v>
      </c>
      <c r="G76" s="7" t="s">
        <v>1165</v>
      </c>
      <c r="H76" s="7">
        <f t="shared" si="1"/>
        <v>1</v>
      </c>
    </row>
    <row r="77" spans="1:8" x14ac:dyDescent="0.35">
      <c r="G77" s="2" t="s">
        <v>3496</v>
      </c>
      <c r="H77" s="2">
        <f>SUM(H2:H76)</f>
        <v>138</v>
      </c>
    </row>
  </sheetData>
  <autoFilter ref="A1:I77" xr:uid="{A3B268BB-21D9-4A91-A5BA-CE64EA016439}"/>
  <printOptions horizontalCentered="1"/>
  <pageMargins left="0.70866141732283472" right="0.70866141732283472" top="0.74803149606299213" bottom="0.74803149606299213" header="0.31496062992125984" footer="0.31496062992125984"/>
  <pageSetup paperSize="9" scale="78" orientation="portrait" r:id="rId1"/>
  <headerFooter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4113-AB1C-49BA-A1B3-3A8C7D384B23}">
  <dimension ref="A1:I84"/>
  <sheetViews>
    <sheetView view="pageBreakPreview" topLeftCell="A68" zoomScale="70" zoomScaleNormal="80" zoomScaleSheetLayoutView="70" workbookViewId="0">
      <selection activeCell="N80" sqref="N80"/>
    </sheetView>
  </sheetViews>
  <sheetFormatPr defaultRowHeight="14.5" x14ac:dyDescent="0.35"/>
  <cols>
    <col min="1" max="1" width="24.1796875" customWidth="1"/>
    <col min="2" max="2" width="48.26953125" customWidth="1"/>
    <col min="3" max="3" width="14.7265625" customWidth="1"/>
    <col min="4" max="4" width="16" customWidth="1"/>
    <col min="5" max="5" width="6.7265625" bestFit="1" customWidth="1"/>
    <col min="6" max="6" width="7.453125" bestFit="1" customWidth="1"/>
    <col min="7" max="7" width="15.6328125" customWidth="1"/>
    <col min="8" max="8" width="8.81640625" bestFit="1" customWidth="1"/>
    <col min="9" max="9" width="8.7265625" style="3"/>
  </cols>
  <sheetData>
    <row r="1" spans="1:8" ht="25" customHeight="1" x14ac:dyDescent="0.35">
      <c r="A1" s="5" t="s">
        <v>3483</v>
      </c>
      <c r="B1" s="6" t="s">
        <v>3489</v>
      </c>
      <c r="C1" s="6" t="s">
        <v>3480</v>
      </c>
      <c r="D1" s="6" t="s">
        <v>3488</v>
      </c>
      <c r="E1" s="6" t="s">
        <v>1</v>
      </c>
      <c r="F1" s="6" t="s">
        <v>3481</v>
      </c>
      <c r="G1" s="6" t="s">
        <v>3482</v>
      </c>
      <c r="H1" s="6" t="s">
        <v>3487</v>
      </c>
    </row>
    <row r="2" spans="1:8" ht="25" customHeight="1" x14ac:dyDescent="0.35">
      <c r="A2" s="9" t="s">
        <v>47</v>
      </c>
      <c r="B2" s="7" t="s">
        <v>48</v>
      </c>
      <c r="C2" s="7" t="s">
        <v>4</v>
      </c>
      <c r="D2" s="7">
        <v>42</v>
      </c>
      <c r="E2" s="7" t="s">
        <v>5</v>
      </c>
      <c r="F2" s="7" t="s">
        <v>1166</v>
      </c>
      <c r="G2" s="7" t="s">
        <v>1167</v>
      </c>
      <c r="H2" s="7">
        <f t="shared" ref="H2:H14" si="0">D2/21</f>
        <v>2</v>
      </c>
    </row>
    <row r="3" spans="1:8" ht="25" customHeight="1" x14ac:dyDescent="0.35">
      <c r="A3" s="9" t="s">
        <v>539</v>
      </c>
      <c r="B3" s="7" t="s">
        <v>540</v>
      </c>
      <c r="C3" s="7" t="s">
        <v>4</v>
      </c>
      <c r="D3" s="7">
        <v>42</v>
      </c>
      <c r="E3" s="7" t="s">
        <v>5</v>
      </c>
      <c r="F3" s="7" t="s">
        <v>1166</v>
      </c>
      <c r="G3" s="7" t="s">
        <v>1167</v>
      </c>
      <c r="H3" s="7">
        <f t="shared" si="0"/>
        <v>2</v>
      </c>
    </row>
    <row r="4" spans="1:8" ht="25" customHeight="1" x14ac:dyDescent="0.35">
      <c r="A4" s="9" t="s">
        <v>892</v>
      </c>
      <c r="B4" s="7" t="s">
        <v>893</v>
      </c>
      <c r="C4" s="7" t="s">
        <v>4</v>
      </c>
      <c r="D4" s="7">
        <v>21</v>
      </c>
      <c r="E4" s="7" t="s">
        <v>5</v>
      </c>
      <c r="F4" s="7" t="s">
        <v>1168</v>
      </c>
      <c r="G4" s="7" t="s">
        <v>1169</v>
      </c>
      <c r="H4" s="7">
        <f t="shared" si="0"/>
        <v>1</v>
      </c>
    </row>
    <row r="5" spans="1:8" ht="25" customHeight="1" x14ac:dyDescent="0.35">
      <c r="A5" s="9" t="s">
        <v>1170</v>
      </c>
      <c r="B5" s="7" t="s">
        <v>1171</v>
      </c>
      <c r="C5" s="7" t="s">
        <v>4</v>
      </c>
      <c r="D5" s="7">
        <v>21</v>
      </c>
      <c r="E5" s="7" t="s">
        <v>5</v>
      </c>
      <c r="F5" s="7" t="s">
        <v>1172</v>
      </c>
      <c r="G5" s="7" t="s">
        <v>1173</v>
      </c>
      <c r="H5" s="7">
        <f t="shared" si="0"/>
        <v>1</v>
      </c>
    </row>
    <row r="6" spans="1:8" ht="25" customHeight="1" x14ac:dyDescent="0.35">
      <c r="A6" s="9" t="s">
        <v>1174</v>
      </c>
      <c r="B6" s="7" t="s">
        <v>1175</v>
      </c>
      <c r="C6" s="7" t="s">
        <v>4</v>
      </c>
      <c r="D6" s="7">
        <v>21</v>
      </c>
      <c r="E6" s="7" t="s">
        <v>5</v>
      </c>
      <c r="F6" s="7" t="s">
        <v>1176</v>
      </c>
      <c r="G6" s="7" t="s">
        <v>1177</v>
      </c>
      <c r="H6" s="7">
        <f t="shared" si="0"/>
        <v>1</v>
      </c>
    </row>
    <row r="7" spans="1:8" ht="25" customHeight="1" x14ac:dyDescent="0.35">
      <c r="A7" s="9" t="s">
        <v>1178</v>
      </c>
      <c r="B7" s="7" t="s">
        <v>1179</v>
      </c>
      <c r="C7" s="7" t="s">
        <v>4</v>
      </c>
      <c r="D7" s="7">
        <v>21</v>
      </c>
      <c r="E7" s="7" t="s">
        <v>5</v>
      </c>
      <c r="F7" s="7" t="s">
        <v>1180</v>
      </c>
      <c r="G7" s="7" t="s">
        <v>1181</v>
      </c>
      <c r="H7" s="7">
        <f t="shared" si="0"/>
        <v>1</v>
      </c>
    </row>
    <row r="8" spans="1:8" ht="25" customHeight="1" x14ac:dyDescent="0.35">
      <c r="A8" s="9" t="s">
        <v>1182</v>
      </c>
      <c r="B8" s="7" t="s">
        <v>1183</v>
      </c>
      <c r="C8" s="7" t="s">
        <v>4</v>
      </c>
      <c r="D8" s="7">
        <v>21</v>
      </c>
      <c r="E8" s="7" t="s">
        <v>5</v>
      </c>
      <c r="F8" s="7" t="s">
        <v>1184</v>
      </c>
      <c r="G8" s="7" t="s">
        <v>1185</v>
      </c>
      <c r="H8" s="7">
        <f t="shared" si="0"/>
        <v>1</v>
      </c>
    </row>
    <row r="9" spans="1:8" ht="25" customHeight="1" x14ac:dyDescent="0.35">
      <c r="A9" s="9" t="s">
        <v>831</v>
      </c>
      <c r="B9" s="7" t="s">
        <v>832</v>
      </c>
      <c r="C9" s="7" t="s">
        <v>4</v>
      </c>
      <c r="D9" s="7">
        <v>42</v>
      </c>
      <c r="E9" s="7" t="s">
        <v>5</v>
      </c>
      <c r="F9" s="7" t="s">
        <v>1186</v>
      </c>
      <c r="G9" s="7" t="s">
        <v>1187</v>
      </c>
      <c r="H9" s="7">
        <f t="shared" si="0"/>
        <v>2</v>
      </c>
    </row>
    <row r="10" spans="1:8" ht="25" customHeight="1" x14ac:dyDescent="0.35">
      <c r="A10" s="9" t="s">
        <v>1188</v>
      </c>
      <c r="B10" s="7" t="s">
        <v>1189</v>
      </c>
      <c r="C10" s="7" t="s">
        <v>53</v>
      </c>
      <c r="D10" s="7">
        <v>21</v>
      </c>
      <c r="E10" s="7" t="s">
        <v>5</v>
      </c>
      <c r="F10" s="7" t="s">
        <v>1190</v>
      </c>
      <c r="G10" s="7" t="s">
        <v>1191</v>
      </c>
      <c r="H10" s="7">
        <f t="shared" si="0"/>
        <v>1</v>
      </c>
    </row>
    <row r="11" spans="1:8" ht="25" customHeight="1" x14ac:dyDescent="0.35">
      <c r="A11" s="9" t="s">
        <v>1192</v>
      </c>
      <c r="B11" s="7" t="s">
        <v>1193</v>
      </c>
      <c r="C11" s="7" t="s">
        <v>53</v>
      </c>
      <c r="D11" s="7">
        <v>21</v>
      </c>
      <c r="E11" s="7" t="s">
        <v>5</v>
      </c>
      <c r="F11" s="7" t="s">
        <v>1194</v>
      </c>
      <c r="G11" s="7" t="s">
        <v>1195</v>
      </c>
      <c r="H11" s="7">
        <f t="shared" si="0"/>
        <v>1</v>
      </c>
    </row>
    <row r="12" spans="1:8" ht="25" customHeight="1" x14ac:dyDescent="0.35">
      <c r="A12" s="9" t="s">
        <v>1196</v>
      </c>
      <c r="B12" s="7" t="s">
        <v>1197</v>
      </c>
      <c r="C12" s="7" t="s">
        <v>4</v>
      </c>
      <c r="D12" s="7">
        <v>21</v>
      </c>
      <c r="E12" s="7" t="s">
        <v>5</v>
      </c>
      <c r="F12" s="7" t="s">
        <v>1198</v>
      </c>
      <c r="G12" s="7" t="s">
        <v>1199</v>
      </c>
      <c r="H12" s="7">
        <f t="shared" si="0"/>
        <v>1</v>
      </c>
    </row>
    <row r="13" spans="1:8" ht="25" customHeight="1" x14ac:dyDescent="0.35">
      <c r="A13" s="9" t="s">
        <v>1200</v>
      </c>
      <c r="B13" s="7" t="s">
        <v>1201</v>
      </c>
      <c r="C13" s="7" t="s">
        <v>4</v>
      </c>
      <c r="D13" s="7">
        <v>21</v>
      </c>
      <c r="E13" s="7" t="s">
        <v>5</v>
      </c>
      <c r="F13" s="7" t="s">
        <v>1202</v>
      </c>
      <c r="G13" s="7" t="s">
        <v>1203</v>
      </c>
      <c r="H13" s="7">
        <f t="shared" si="0"/>
        <v>1</v>
      </c>
    </row>
    <row r="14" spans="1:8" ht="25" customHeight="1" x14ac:dyDescent="0.35">
      <c r="A14" s="9" t="s">
        <v>35</v>
      </c>
      <c r="B14" s="7" t="s">
        <v>36</v>
      </c>
      <c r="C14" s="7" t="s">
        <v>4</v>
      </c>
      <c r="D14" s="7">
        <v>21</v>
      </c>
      <c r="E14" s="7" t="s">
        <v>5</v>
      </c>
      <c r="F14" s="7" t="s">
        <v>1204</v>
      </c>
      <c r="G14" s="7" t="s">
        <v>1205</v>
      </c>
      <c r="H14" s="7">
        <f t="shared" si="0"/>
        <v>1</v>
      </c>
    </row>
    <row r="15" spans="1:8" ht="25" customHeight="1" x14ac:dyDescent="0.35">
      <c r="A15" s="9" t="s">
        <v>1206</v>
      </c>
      <c r="B15" s="7" t="s">
        <v>1207</v>
      </c>
      <c r="C15" s="7" t="s">
        <v>53</v>
      </c>
      <c r="D15" s="7">
        <v>21</v>
      </c>
      <c r="E15" s="7" t="s">
        <v>5</v>
      </c>
      <c r="F15" s="7" t="s">
        <v>1208</v>
      </c>
      <c r="G15" s="7" t="s">
        <v>1209</v>
      </c>
      <c r="H15" s="7">
        <f>D15/21</f>
        <v>1</v>
      </c>
    </row>
    <row r="16" spans="1:8" ht="25" customHeight="1" x14ac:dyDescent="0.35">
      <c r="A16" s="9" t="s">
        <v>1210</v>
      </c>
      <c r="B16" s="7" t="s">
        <v>1211</v>
      </c>
      <c r="C16" s="7" t="s">
        <v>4</v>
      </c>
      <c r="D16" s="7">
        <v>42</v>
      </c>
      <c r="E16" s="7" t="s">
        <v>5</v>
      </c>
      <c r="F16" s="7" t="s">
        <v>1212</v>
      </c>
      <c r="G16" s="7" t="s">
        <v>1213</v>
      </c>
      <c r="H16" s="7">
        <f>D16/21</f>
        <v>2</v>
      </c>
    </row>
    <row r="17" spans="1:8" ht="25" customHeight="1" x14ac:dyDescent="0.35">
      <c r="A17" s="9" t="s">
        <v>1214</v>
      </c>
      <c r="B17" s="7" t="s">
        <v>1215</v>
      </c>
      <c r="C17" s="7" t="s">
        <v>4</v>
      </c>
      <c r="D17" s="7">
        <v>42</v>
      </c>
      <c r="E17" s="7" t="s">
        <v>5</v>
      </c>
      <c r="F17" s="7" t="s">
        <v>1216</v>
      </c>
      <c r="G17" s="7" t="s">
        <v>1217</v>
      </c>
      <c r="H17" s="7">
        <f t="shared" ref="H17:H80" si="1">D17/21</f>
        <v>2</v>
      </c>
    </row>
    <row r="18" spans="1:8" ht="25" customHeight="1" x14ac:dyDescent="0.35">
      <c r="A18" s="9" t="s">
        <v>1218</v>
      </c>
      <c r="B18" s="7" t="s">
        <v>1219</v>
      </c>
      <c r="C18" s="7" t="s">
        <v>4</v>
      </c>
      <c r="D18" s="7">
        <v>42</v>
      </c>
      <c r="E18" s="7" t="s">
        <v>5</v>
      </c>
      <c r="F18" s="7" t="s">
        <v>1220</v>
      </c>
      <c r="G18" s="7" t="s">
        <v>1221</v>
      </c>
      <c r="H18" s="7">
        <f t="shared" si="1"/>
        <v>2</v>
      </c>
    </row>
    <row r="19" spans="1:8" ht="25" customHeight="1" x14ac:dyDescent="0.35">
      <c r="A19" s="9" t="s">
        <v>1222</v>
      </c>
      <c r="B19" s="7" t="s">
        <v>1223</v>
      </c>
      <c r="C19" s="7" t="s">
        <v>4</v>
      </c>
      <c r="D19" s="7">
        <v>42</v>
      </c>
      <c r="E19" s="7" t="s">
        <v>5</v>
      </c>
      <c r="F19" s="7" t="s">
        <v>1224</v>
      </c>
      <c r="G19" s="7" t="s">
        <v>1225</v>
      </c>
      <c r="H19" s="7">
        <f t="shared" si="1"/>
        <v>2</v>
      </c>
    </row>
    <row r="20" spans="1:8" ht="25" customHeight="1" x14ac:dyDescent="0.35">
      <c r="A20" s="9" t="s">
        <v>1226</v>
      </c>
      <c r="B20" s="7" t="s">
        <v>1227</v>
      </c>
      <c r="C20" s="7" t="s">
        <v>4</v>
      </c>
      <c r="D20" s="7">
        <v>42</v>
      </c>
      <c r="E20" s="7" t="s">
        <v>5</v>
      </c>
      <c r="F20" s="7" t="s">
        <v>1228</v>
      </c>
      <c r="G20" s="7" t="s">
        <v>1229</v>
      </c>
      <c r="H20" s="7">
        <f t="shared" si="1"/>
        <v>2</v>
      </c>
    </row>
    <row r="21" spans="1:8" ht="25" customHeight="1" x14ac:dyDescent="0.35">
      <c r="A21" s="9" t="s">
        <v>1230</v>
      </c>
      <c r="B21" s="7" t="s">
        <v>1231</v>
      </c>
      <c r="C21" s="7" t="s">
        <v>4</v>
      </c>
      <c r="D21" s="7">
        <v>42</v>
      </c>
      <c r="E21" s="7" t="s">
        <v>5</v>
      </c>
      <c r="F21" s="7" t="s">
        <v>1232</v>
      </c>
      <c r="G21" s="7" t="s">
        <v>1233</v>
      </c>
      <c r="H21" s="7">
        <f t="shared" si="1"/>
        <v>2</v>
      </c>
    </row>
    <row r="22" spans="1:8" ht="25" customHeight="1" x14ac:dyDescent="0.35">
      <c r="A22" s="9" t="s">
        <v>1234</v>
      </c>
      <c r="B22" s="7" t="s">
        <v>1235</v>
      </c>
      <c r="C22" s="7" t="s">
        <v>53</v>
      </c>
      <c r="D22" s="7">
        <v>21</v>
      </c>
      <c r="E22" s="7" t="s">
        <v>5</v>
      </c>
      <c r="F22" s="7" t="s">
        <v>1236</v>
      </c>
      <c r="G22" s="7" t="s">
        <v>1237</v>
      </c>
      <c r="H22" s="7">
        <f t="shared" si="1"/>
        <v>1</v>
      </c>
    </row>
    <row r="23" spans="1:8" ht="25" customHeight="1" x14ac:dyDescent="0.35">
      <c r="A23" s="9" t="s">
        <v>1238</v>
      </c>
      <c r="B23" s="7" t="s">
        <v>1239</v>
      </c>
      <c r="C23" s="7" t="s">
        <v>53</v>
      </c>
      <c r="D23" s="7">
        <v>21</v>
      </c>
      <c r="E23" s="7" t="s">
        <v>5</v>
      </c>
      <c r="F23" s="7" t="s">
        <v>1240</v>
      </c>
      <c r="G23" s="7" t="s">
        <v>1241</v>
      </c>
      <c r="H23" s="7">
        <f t="shared" si="1"/>
        <v>1</v>
      </c>
    </row>
    <row r="24" spans="1:8" ht="25" customHeight="1" x14ac:dyDescent="0.35">
      <c r="A24" s="9" t="s">
        <v>1242</v>
      </c>
      <c r="B24" s="7" t="s">
        <v>1243</v>
      </c>
      <c r="C24" s="7" t="s">
        <v>4</v>
      </c>
      <c r="D24" s="7">
        <v>21</v>
      </c>
      <c r="E24" s="7" t="s">
        <v>5</v>
      </c>
      <c r="F24" s="7" t="s">
        <v>1244</v>
      </c>
      <c r="G24" s="7" t="s">
        <v>1245</v>
      </c>
      <c r="H24" s="7">
        <f t="shared" si="1"/>
        <v>1</v>
      </c>
    </row>
    <row r="25" spans="1:8" ht="25" customHeight="1" x14ac:dyDescent="0.35">
      <c r="A25" s="9" t="s">
        <v>1246</v>
      </c>
      <c r="B25" s="7" t="s">
        <v>1247</v>
      </c>
      <c r="C25" s="7" t="s">
        <v>4</v>
      </c>
      <c r="D25" s="7">
        <v>21</v>
      </c>
      <c r="E25" s="7" t="s">
        <v>5</v>
      </c>
      <c r="F25" s="7" t="s">
        <v>1248</v>
      </c>
      <c r="G25" s="7" t="s">
        <v>1249</v>
      </c>
      <c r="H25" s="7">
        <f t="shared" si="1"/>
        <v>1</v>
      </c>
    </row>
    <row r="26" spans="1:8" ht="25" customHeight="1" x14ac:dyDescent="0.35">
      <c r="A26" s="9" t="s">
        <v>1250</v>
      </c>
      <c r="B26" s="7" t="s">
        <v>1251</v>
      </c>
      <c r="C26" s="7" t="s">
        <v>53</v>
      </c>
      <c r="D26" s="7">
        <v>126</v>
      </c>
      <c r="E26" s="7" t="s">
        <v>5</v>
      </c>
      <c r="F26" s="7" t="s">
        <v>1252</v>
      </c>
      <c r="G26" s="7" t="s">
        <v>1253</v>
      </c>
      <c r="H26" s="7">
        <f t="shared" si="1"/>
        <v>6</v>
      </c>
    </row>
    <row r="27" spans="1:8" ht="25" customHeight="1" x14ac:dyDescent="0.35">
      <c r="A27" s="9" t="s">
        <v>84</v>
      </c>
      <c r="B27" s="7" t="s">
        <v>85</v>
      </c>
      <c r="C27" s="7" t="s">
        <v>53</v>
      </c>
      <c r="D27" s="7">
        <v>126</v>
      </c>
      <c r="E27" s="7" t="s">
        <v>5</v>
      </c>
      <c r="F27" s="7" t="s">
        <v>1254</v>
      </c>
      <c r="G27" s="7" t="s">
        <v>1255</v>
      </c>
      <c r="H27" s="7">
        <f t="shared" si="1"/>
        <v>6</v>
      </c>
    </row>
    <row r="28" spans="1:8" ht="25" customHeight="1" x14ac:dyDescent="0.35">
      <c r="A28" s="9" t="s">
        <v>1256</v>
      </c>
      <c r="B28" s="7" t="s">
        <v>1257</v>
      </c>
      <c r="C28" s="7" t="s">
        <v>53</v>
      </c>
      <c r="D28" s="7">
        <v>126</v>
      </c>
      <c r="E28" s="7" t="s">
        <v>5</v>
      </c>
      <c r="F28" s="7" t="s">
        <v>1258</v>
      </c>
      <c r="G28" s="7" t="s">
        <v>1259</v>
      </c>
      <c r="H28" s="7">
        <f t="shared" si="1"/>
        <v>6</v>
      </c>
    </row>
    <row r="29" spans="1:8" ht="25" customHeight="1" x14ac:dyDescent="0.35">
      <c r="A29" s="9" t="s">
        <v>1260</v>
      </c>
      <c r="B29" s="7" t="s">
        <v>1261</v>
      </c>
      <c r="C29" s="7" t="s">
        <v>53</v>
      </c>
      <c r="D29" s="7">
        <v>126</v>
      </c>
      <c r="E29" s="7" t="s">
        <v>5</v>
      </c>
      <c r="F29" s="7" t="s">
        <v>1262</v>
      </c>
      <c r="G29" s="7" t="s">
        <v>1263</v>
      </c>
      <c r="H29" s="7">
        <f t="shared" si="1"/>
        <v>6</v>
      </c>
    </row>
    <row r="30" spans="1:8" ht="25" customHeight="1" x14ac:dyDescent="0.35">
      <c r="A30" s="9" t="s">
        <v>1264</v>
      </c>
      <c r="B30" s="7" t="s">
        <v>1265</v>
      </c>
      <c r="C30" s="7" t="s">
        <v>53</v>
      </c>
      <c r="D30" s="7">
        <v>21</v>
      </c>
      <c r="E30" s="7" t="s">
        <v>5</v>
      </c>
      <c r="F30" s="7" t="s">
        <v>1266</v>
      </c>
      <c r="G30" s="7" t="s">
        <v>1267</v>
      </c>
      <c r="H30" s="7">
        <f t="shared" si="1"/>
        <v>1</v>
      </c>
    </row>
    <row r="31" spans="1:8" ht="25" customHeight="1" x14ac:dyDescent="0.35">
      <c r="A31" s="9" t="s">
        <v>1268</v>
      </c>
      <c r="B31" s="7" t="s">
        <v>1269</v>
      </c>
      <c r="C31" s="7" t="s">
        <v>53</v>
      </c>
      <c r="D31" s="7">
        <v>21</v>
      </c>
      <c r="E31" s="7" t="s">
        <v>5</v>
      </c>
      <c r="F31" s="7" t="s">
        <v>963</v>
      </c>
      <c r="G31" s="7" t="s">
        <v>1270</v>
      </c>
      <c r="H31" s="7">
        <f t="shared" si="1"/>
        <v>1</v>
      </c>
    </row>
    <row r="32" spans="1:8" ht="25" customHeight="1" x14ac:dyDescent="0.35">
      <c r="A32" s="9" t="s">
        <v>1271</v>
      </c>
      <c r="B32" s="7" t="s">
        <v>1272</v>
      </c>
      <c r="C32" s="7" t="s">
        <v>53</v>
      </c>
      <c r="D32" s="7">
        <v>21</v>
      </c>
      <c r="E32" s="7" t="s">
        <v>5</v>
      </c>
      <c r="F32" s="7" t="s">
        <v>963</v>
      </c>
      <c r="G32" s="7" t="s">
        <v>1270</v>
      </c>
      <c r="H32" s="7">
        <f t="shared" si="1"/>
        <v>1</v>
      </c>
    </row>
    <row r="33" spans="1:8" ht="25" customHeight="1" x14ac:dyDescent="0.35">
      <c r="A33" s="9" t="s">
        <v>1273</v>
      </c>
      <c r="B33" s="7" t="s">
        <v>1274</v>
      </c>
      <c r="C33" s="7" t="s">
        <v>4</v>
      </c>
      <c r="D33" s="7">
        <v>21</v>
      </c>
      <c r="E33" s="7" t="s">
        <v>5</v>
      </c>
      <c r="F33" s="7" t="s">
        <v>50</v>
      </c>
      <c r="G33" s="7" t="s">
        <v>1275</v>
      </c>
      <c r="H33" s="7">
        <f t="shared" si="1"/>
        <v>1</v>
      </c>
    </row>
    <row r="34" spans="1:8" ht="25" customHeight="1" x14ac:dyDescent="0.35">
      <c r="A34" s="9" t="s">
        <v>558</v>
      </c>
      <c r="B34" s="7" t="s">
        <v>559</v>
      </c>
      <c r="C34" s="7" t="s">
        <v>53</v>
      </c>
      <c r="D34" s="7">
        <v>21</v>
      </c>
      <c r="E34" s="7" t="s">
        <v>5</v>
      </c>
      <c r="F34" s="7" t="s">
        <v>155</v>
      </c>
      <c r="G34" s="7" t="s">
        <v>1276</v>
      </c>
      <c r="H34" s="7">
        <f t="shared" si="1"/>
        <v>1</v>
      </c>
    </row>
    <row r="35" spans="1:8" ht="25" customHeight="1" x14ac:dyDescent="0.35">
      <c r="A35" s="9" t="s">
        <v>1277</v>
      </c>
      <c r="B35" s="7" t="s">
        <v>1278</v>
      </c>
      <c r="C35" s="7" t="s">
        <v>4</v>
      </c>
      <c r="D35" s="7">
        <v>21</v>
      </c>
      <c r="E35" s="7" t="s">
        <v>5</v>
      </c>
      <c r="F35" s="7" t="s">
        <v>1279</v>
      </c>
      <c r="G35" s="7" t="s">
        <v>1280</v>
      </c>
      <c r="H35" s="7">
        <f t="shared" si="1"/>
        <v>1</v>
      </c>
    </row>
    <row r="36" spans="1:8" ht="25" customHeight="1" x14ac:dyDescent="0.35">
      <c r="A36" s="9" t="s">
        <v>1281</v>
      </c>
      <c r="B36" s="7" t="s">
        <v>1282</v>
      </c>
      <c r="C36" s="7" t="s">
        <v>4</v>
      </c>
      <c r="D36" s="7">
        <v>21</v>
      </c>
      <c r="E36" s="7" t="s">
        <v>5</v>
      </c>
      <c r="F36" s="7" t="s">
        <v>1283</v>
      </c>
      <c r="G36" s="7" t="s">
        <v>1284</v>
      </c>
      <c r="H36" s="7">
        <f t="shared" si="1"/>
        <v>1</v>
      </c>
    </row>
    <row r="37" spans="1:8" ht="25" customHeight="1" x14ac:dyDescent="0.35">
      <c r="A37" s="9" t="s">
        <v>1116</v>
      </c>
      <c r="B37" s="7" t="s">
        <v>1117</v>
      </c>
      <c r="C37" s="7" t="s">
        <v>4</v>
      </c>
      <c r="D37" s="7">
        <v>21</v>
      </c>
      <c r="E37" s="7" t="s">
        <v>5</v>
      </c>
      <c r="F37" s="7" t="s">
        <v>1285</v>
      </c>
      <c r="G37" s="7" t="s">
        <v>1286</v>
      </c>
      <c r="H37" s="7">
        <f t="shared" si="1"/>
        <v>1</v>
      </c>
    </row>
    <row r="38" spans="1:8" ht="25" customHeight="1" x14ac:dyDescent="0.35">
      <c r="A38" s="9" t="s">
        <v>1287</v>
      </c>
      <c r="B38" s="7" t="s">
        <v>1288</v>
      </c>
      <c r="C38" s="7" t="s">
        <v>4</v>
      </c>
      <c r="D38" s="7">
        <v>21</v>
      </c>
      <c r="E38" s="7" t="s">
        <v>5</v>
      </c>
      <c r="F38" s="7" t="s">
        <v>1289</v>
      </c>
      <c r="G38" s="7" t="s">
        <v>1290</v>
      </c>
      <c r="H38" s="7">
        <f t="shared" si="1"/>
        <v>1</v>
      </c>
    </row>
    <row r="39" spans="1:8" ht="25" customHeight="1" x14ac:dyDescent="0.35">
      <c r="A39" s="9" t="s">
        <v>1291</v>
      </c>
      <c r="B39" s="7" t="s">
        <v>1292</v>
      </c>
      <c r="C39" s="7" t="s">
        <v>4</v>
      </c>
      <c r="D39" s="7">
        <v>21</v>
      </c>
      <c r="E39" s="7" t="s">
        <v>5</v>
      </c>
      <c r="F39" s="7" t="s">
        <v>1293</v>
      </c>
      <c r="G39" s="7" t="s">
        <v>1294</v>
      </c>
      <c r="H39" s="7">
        <f t="shared" si="1"/>
        <v>1</v>
      </c>
    </row>
    <row r="40" spans="1:8" ht="25" customHeight="1" x14ac:dyDescent="0.35">
      <c r="A40" s="9" t="s">
        <v>380</v>
      </c>
      <c r="B40" s="7" t="s">
        <v>381</v>
      </c>
      <c r="C40" s="7" t="s">
        <v>53</v>
      </c>
      <c r="D40" s="7">
        <v>42</v>
      </c>
      <c r="E40" s="7" t="s">
        <v>5</v>
      </c>
      <c r="F40" s="7" t="s">
        <v>1295</v>
      </c>
      <c r="G40" s="7" t="s">
        <v>1296</v>
      </c>
      <c r="H40" s="7">
        <f t="shared" si="1"/>
        <v>2</v>
      </c>
    </row>
    <row r="41" spans="1:8" ht="25" customHeight="1" x14ac:dyDescent="0.35">
      <c r="A41" s="9" t="s">
        <v>1291</v>
      </c>
      <c r="B41" s="7" t="s">
        <v>1292</v>
      </c>
      <c r="C41" s="7" t="s">
        <v>4</v>
      </c>
      <c r="D41" s="7">
        <v>21</v>
      </c>
      <c r="E41" s="7" t="s">
        <v>5</v>
      </c>
      <c r="F41" s="7" t="s">
        <v>1293</v>
      </c>
      <c r="G41" s="7" t="s">
        <v>1294</v>
      </c>
      <c r="H41" s="7">
        <f t="shared" si="1"/>
        <v>1</v>
      </c>
    </row>
    <row r="42" spans="1:8" ht="25" customHeight="1" x14ac:dyDescent="0.35">
      <c r="A42" s="9" t="s">
        <v>1297</v>
      </c>
      <c r="B42" s="7" t="s">
        <v>1298</v>
      </c>
      <c r="C42" s="7" t="s">
        <v>4</v>
      </c>
      <c r="D42" s="7">
        <v>21</v>
      </c>
      <c r="E42" s="7" t="s">
        <v>5</v>
      </c>
      <c r="F42" s="7" t="s">
        <v>1293</v>
      </c>
      <c r="G42" s="7" t="s">
        <v>1294</v>
      </c>
      <c r="H42" s="7">
        <f t="shared" si="1"/>
        <v>1</v>
      </c>
    </row>
    <row r="43" spans="1:8" ht="25" customHeight="1" x14ac:dyDescent="0.35">
      <c r="A43" s="9" t="s">
        <v>1299</v>
      </c>
      <c r="B43" s="7" t="s">
        <v>1300</v>
      </c>
      <c r="C43" s="7" t="s">
        <v>4</v>
      </c>
      <c r="D43" s="7">
        <v>21</v>
      </c>
      <c r="E43" s="7" t="s">
        <v>5</v>
      </c>
      <c r="F43" s="7" t="s">
        <v>1301</v>
      </c>
      <c r="G43" s="7" t="s">
        <v>1302</v>
      </c>
      <c r="H43" s="7">
        <f t="shared" si="1"/>
        <v>1</v>
      </c>
    </row>
    <row r="44" spans="1:8" ht="25" customHeight="1" x14ac:dyDescent="0.35">
      <c r="A44" s="9" t="s">
        <v>1303</v>
      </c>
      <c r="B44" s="7" t="s">
        <v>1304</v>
      </c>
      <c r="C44" s="7" t="s">
        <v>4</v>
      </c>
      <c r="D44" s="7">
        <v>21</v>
      </c>
      <c r="E44" s="7" t="s">
        <v>5</v>
      </c>
      <c r="F44" s="7" t="s">
        <v>1305</v>
      </c>
      <c r="G44" s="7" t="s">
        <v>1306</v>
      </c>
      <c r="H44" s="7">
        <f t="shared" si="1"/>
        <v>1</v>
      </c>
    </row>
    <row r="45" spans="1:8" ht="25" customHeight="1" x14ac:dyDescent="0.35">
      <c r="A45" s="9" t="s">
        <v>844</v>
      </c>
      <c r="B45" s="7" t="s">
        <v>845</v>
      </c>
      <c r="C45" s="7" t="s">
        <v>4</v>
      </c>
      <c r="D45" s="7">
        <v>21</v>
      </c>
      <c r="E45" s="7" t="s">
        <v>5</v>
      </c>
      <c r="F45" s="7" t="s">
        <v>1307</v>
      </c>
      <c r="G45" s="7" t="s">
        <v>1308</v>
      </c>
      <c r="H45" s="7">
        <f t="shared" si="1"/>
        <v>1</v>
      </c>
    </row>
    <row r="46" spans="1:8" ht="25" customHeight="1" x14ac:dyDescent="0.35">
      <c r="A46" s="9" t="s">
        <v>392</v>
      </c>
      <c r="B46" s="7" t="s">
        <v>393</v>
      </c>
      <c r="C46" s="7" t="s">
        <v>4</v>
      </c>
      <c r="D46" s="7">
        <v>21</v>
      </c>
      <c r="E46" s="7" t="s">
        <v>5</v>
      </c>
      <c r="F46" s="7" t="s">
        <v>1309</v>
      </c>
      <c r="G46" s="7" t="s">
        <v>1310</v>
      </c>
      <c r="H46" s="7">
        <f t="shared" si="1"/>
        <v>1</v>
      </c>
    </row>
    <row r="47" spans="1:8" ht="25" customHeight="1" x14ac:dyDescent="0.35">
      <c r="A47" s="9" t="s">
        <v>1311</v>
      </c>
      <c r="B47" s="7" t="s">
        <v>1312</v>
      </c>
      <c r="C47" s="7" t="s">
        <v>4</v>
      </c>
      <c r="D47" s="7">
        <v>21</v>
      </c>
      <c r="E47" s="7" t="s">
        <v>5</v>
      </c>
      <c r="F47" s="7" t="s">
        <v>1313</v>
      </c>
      <c r="G47" s="7" t="s">
        <v>1314</v>
      </c>
      <c r="H47" s="7">
        <f t="shared" si="1"/>
        <v>1</v>
      </c>
    </row>
    <row r="48" spans="1:8" ht="25" customHeight="1" x14ac:dyDescent="0.35">
      <c r="A48" s="9" t="s">
        <v>1315</v>
      </c>
      <c r="B48" s="7" t="s">
        <v>1316</v>
      </c>
      <c r="C48" s="7" t="s">
        <v>53</v>
      </c>
      <c r="D48" s="7">
        <v>21</v>
      </c>
      <c r="E48" s="7" t="s">
        <v>5</v>
      </c>
      <c r="F48" s="7" t="s">
        <v>1317</v>
      </c>
      <c r="G48" s="7" t="s">
        <v>1318</v>
      </c>
      <c r="H48" s="7">
        <f t="shared" si="1"/>
        <v>1</v>
      </c>
    </row>
    <row r="49" spans="1:8" ht="25" customHeight="1" x14ac:dyDescent="0.35">
      <c r="A49" s="9" t="s">
        <v>1319</v>
      </c>
      <c r="B49" s="7" t="s">
        <v>1320</v>
      </c>
      <c r="C49" s="7" t="s">
        <v>53</v>
      </c>
      <c r="D49" s="7">
        <v>21</v>
      </c>
      <c r="E49" s="7" t="s">
        <v>5</v>
      </c>
      <c r="F49" s="7" t="s">
        <v>1321</v>
      </c>
      <c r="G49" s="7" t="s">
        <v>1322</v>
      </c>
      <c r="H49" s="7">
        <f t="shared" si="1"/>
        <v>1</v>
      </c>
    </row>
    <row r="50" spans="1:8" ht="25" customHeight="1" x14ac:dyDescent="0.35">
      <c r="A50" s="9" t="s">
        <v>1323</v>
      </c>
      <c r="B50" s="7" t="s">
        <v>1324</v>
      </c>
      <c r="C50" s="7" t="s">
        <v>4</v>
      </c>
      <c r="D50" s="7">
        <v>21</v>
      </c>
      <c r="E50" s="7" t="s">
        <v>5</v>
      </c>
      <c r="F50" s="7" t="s">
        <v>1325</v>
      </c>
      <c r="G50" s="7" t="s">
        <v>1326</v>
      </c>
      <c r="H50" s="7">
        <f t="shared" si="1"/>
        <v>1</v>
      </c>
    </row>
    <row r="51" spans="1:8" ht="25" customHeight="1" x14ac:dyDescent="0.35">
      <c r="A51" s="9" t="s">
        <v>1144</v>
      </c>
      <c r="B51" s="7" t="s">
        <v>1145</v>
      </c>
      <c r="C51" s="7" t="s">
        <v>53</v>
      </c>
      <c r="D51" s="7">
        <v>84</v>
      </c>
      <c r="E51" s="7" t="s">
        <v>5</v>
      </c>
      <c r="F51" s="7" t="s">
        <v>1327</v>
      </c>
      <c r="G51" s="7" t="s">
        <v>1328</v>
      </c>
      <c r="H51" s="7">
        <f t="shared" si="1"/>
        <v>4</v>
      </c>
    </row>
    <row r="52" spans="1:8" ht="25" customHeight="1" x14ac:dyDescent="0.35">
      <c r="A52" s="9" t="s">
        <v>1329</v>
      </c>
      <c r="B52" s="7" t="s">
        <v>1330</v>
      </c>
      <c r="C52" s="7" t="s">
        <v>4</v>
      </c>
      <c r="D52" s="7">
        <v>21</v>
      </c>
      <c r="E52" s="7" t="s">
        <v>5</v>
      </c>
      <c r="F52" s="7" t="s">
        <v>1331</v>
      </c>
      <c r="G52" s="7" t="s">
        <v>1332</v>
      </c>
      <c r="H52" s="7">
        <f t="shared" si="1"/>
        <v>1</v>
      </c>
    </row>
    <row r="53" spans="1:8" ht="25" customHeight="1" x14ac:dyDescent="0.35">
      <c r="A53" s="9" t="s">
        <v>1333</v>
      </c>
      <c r="B53" s="7" t="s">
        <v>1334</v>
      </c>
      <c r="C53" s="7" t="s">
        <v>4</v>
      </c>
      <c r="D53" s="7">
        <v>21</v>
      </c>
      <c r="E53" s="7" t="s">
        <v>5</v>
      </c>
      <c r="F53" s="7" t="s">
        <v>1335</v>
      </c>
      <c r="G53" s="7" t="s">
        <v>1336</v>
      </c>
      <c r="H53" s="7">
        <f t="shared" si="1"/>
        <v>1</v>
      </c>
    </row>
    <row r="54" spans="1:8" ht="25" customHeight="1" x14ac:dyDescent="0.35">
      <c r="A54" s="9" t="s">
        <v>1337</v>
      </c>
      <c r="B54" s="7" t="s">
        <v>1338</v>
      </c>
      <c r="C54" s="7" t="s">
        <v>53</v>
      </c>
      <c r="D54" s="7">
        <v>84</v>
      </c>
      <c r="E54" s="7" t="s">
        <v>5</v>
      </c>
      <c r="F54" s="7" t="s">
        <v>1339</v>
      </c>
      <c r="G54" s="7" t="s">
        <v>1340</v>
      </c>
      <c r="H54" s="7">
        <f t="shared" si="1"/>
        <v>4</v>
      </c>
    </row>
    <row r="55" spans="1:8" ht="25" customHeight="1" x14ac:dyDescent="0.35">
      <c r="A55" s="9" t="s">
        <v>916</v>
      </c>
      <c r="B55" s="7" t="s">
        <v>917</v>
      </c>
      <c r="C55" s="7" t="s">
        <v>4</v>
      </c>
      <c r="D55" s="7">
        <v>21</v>
      </c>
      <c r="E55" s="7" t="s">
        <v>5</v>
      </c>
      <c r="F55" s="7" t="s">
        <v>1341</v>
      </c>
      <c r="G55" s="7" t="s">
        <v>1342</v>
      </c>
      <c r="H55" s="7">
        <f t="shared" si="1"/>
        <v>1</v>
      </c>
    </row>
    <row r="56" spans="1:8" ht="25" customHeight="1" x14ac:dyDescent="0.35">
      <c r="A56" s="9" t="s">
        <v>498</v>
      </c>
      <c r="B56" s="7" t="s">
        <v>499</v>
      </c>
      <c r="C56" s="7" t="s">
        <v>500</v>
      </c>
      <c r="D56" s="7">
        <v>42</v>
      </c>
      <c r="E56" s="7" t="s">
        <v>5</v>
      </c>
      <c r="F56" s="7" t="s">
        <v>1343</v>
      </c>
      <c r="G56" s="7" t="s">
        <v>1344</v>
      </c>
      <c r="H56" s="7">
        <f t="shared" si="1"/>
        <v>2</v>
      </c>
    </row>
    <row r="57" spans="1:8" ht="25" customHeight="1" x14ac:dyDescent="0.35">
      <c r="A57" s="9" t="s">
        <v>1345</v>
      </c>
      <c r="B57" s="7" t="s">
        <v>1346</v>
      </c>
      <c r="C57" s="7" t="s">
        <v>500</v>
      </c>
      <c r="D57" s="7">
        <v>21</v>
      </c>
      <c r="E57" s="7" t="s">
        <v>5</v>
      </c>
      <c r="F57" s="7" t="s">
        <v>1347</v>
      </c>
      <c r="G57" s="7" t="s">
        <v>1348</v>
      </c>
      <c r="H57" s="7">
        <f t="shared" si="1"/>
        <v>1</v>
      </c>
    </row>
    <row r="58" spans="1:8" ht="25" customHeight="1" x14ac:dyDescent="0.35">
      <c r="A58" s="9" t="s">
        <v>1349</v>
      </c>
      <c r="B58" s="7" t="s">
        <v>1350</v>
      </c>
      <c r="C58" s="7" t="s">
        <v>500</v>
      </c>
      <c r="D58" s="7">
        <v>21</v>
      </c>
      <c r="E58" s="7" t="s">
        <v>5</v>
      </c>
      <c r="F58" s="7" t="s">
        <v>1351</v>
      </c>
      <c r="G58" s="7" t="s">
        <v>1352</v>
      </c>
      <c r="H58" s="7">
        <f t="shared" si="1"/>
        <v>1</v>
      </c>
    </row>
    <row r="59" spans="1:8" ht="25" customHeight="1" x14ac:dyDescent="0.35">
      <c r="A59" s="9" t="s">
        <v>1353</v>
      </c>
      <c r="B59" s="7" t="s">
        <v>1354</v>
      </c>
      <c r="C59" s="7" t="s">
        <v>4</v>
      </c>
      <c r="D59" s="7">
        <v>21</v>
      </c>
      <c r="E59" s="7" t="s">
        <v>5</v>
      </c>
      <c r="F59" s="7" t="s">
        <v>1355</v>
      </c>
      <c r="G59" s="7" t="s">
        <v>1356</v>
      </c>
      <c r="H59" s="7">
        <f t="shared" si="1"/>
        <v>1</v>
      </c>
    </row>
    <row r="60" spans="1:8" ht="25" customHeight="1" x14ac:dyDescent="0.35">
      <c r="A60" s="9" t="s">
        <v>1357</v>
      </c>
      <c r="B60" s="7" t="s">
        <v>1358</v>
      </c>
      <c r="C60" s="7" t="s">
        <v>4</v>
      </c>
      <c r="D60" s="7">
        <v>21</v>
      </c>
      <c r="E60" s="7" t="s">
        <v>5</v>
      </c>
      <c r="F60" s="7" t="s">
        <v>1359</v>
      </c>
      <c r="G60" s="7" t="s">
        <v>1360</v>
      </c>
      <c r="H60" s="7">
        <f t="shared" si="1"/>
        <v>1</v>
      </c>
    </row>
    <row r="61" spans="1:8" ht="25" customHeight="1" x14ac:dyDescent="0.35">
      <c r="A61" s="9" t="s">
        <v>1361</v>
      </c>
      <c r="B61" s="7" t="s">
        <v>1362</v>
      </c>
      <c r="C61" s="7" t="s">
        <v>4</v>
      </c>
      <c r="D61" s="7">
        <v>21</v>
      </c>
      <c r="E61" s="7" t="s">
        <v>5</v>
      </c>
      <c r="F61" s="7" t="s">
        <v>1363</v>
      </c>
      <c r="G61" s="7" t="s">
        <v>1364</v>
      </c>
      <c r="H61" s="7">
        <f t="shared" si="1"/>
        <v>1</v>
      </c>
    </row>
    <row r="62" spans="1:8" ht="25" customHeight="1" x14ac:dyDescent="0.35">
      <c r="A62" s="9" t="s">
        <v>1365</v>
      </c>
      <c r="B62" s="7" t="s">
        <v>1366</v>
      </c>
      <c r="C62" s="7" t="s">
        <v>4</v>
      </c>
      <c r="D62" s="7">
        <v>21</v>
      </c>
      <c r="E62" s="7" t="s">
        <v>5</v>
      </c>
      <c r="F62" s="7" t="s">
        <v>1367</v>
      </c>
      <c r="G62" s="7" t="s">
        <v>1368</v>
      </c>
      <c r="H62" s="7">
        <f t="shared" si="1"/>
        <v>1</v>
      </c>
    </row>
    <row r="63" spans="1:8" ht="25" customHeight="1" x14ac:dyDescent="0.35">
      <c r="A63" s="9" t="s">
        <v>1369</v>
      </c>
      <c r="B63" s="7" t="s">
        <v>1370</v>
      </c>
      <c r="C63" s="7" t="s">
        <v>4</v>
      </c>
      <c r="D63" s="7">
        <v>21</v>
      </c>
      <c r="E63" s="7" t="s">
        <v>5</v>
      </c>
      <c r="F63" s="7" t="s">
        <v>1371</v>
      </c>
      <c r="G63" s="7" t="s">
        <v>1372</v>
      </c>
      <c r="H63" s="7">
        <f t="shared" si="1"/>
        <v>1</v>
      </c>
    </row>
    <row r="64" spans="1:8" ht="25" customHeight="1" x14ac:dyDescent="0.35">
      <c r="A64" s="9" t="s">
        <v>1373</v>
      </c>
      <c r="B64" s="7" t="s">
        <v>1374</v>
      </c>
      <c r="C64" s="7" t="s">
        <v>4</v>
      </c>
      <c r="D64" s="7">
        <v>21</v>
      </c>
      <c r="E64" s="7" t="s">
        <v>5</v>
      </c>
      <c r="F64" s="7" t="s">
        <v>1375</v>
      </c>
      <c r="G64" s="7" t="s">
        <v>1376</v>
      </c>
      <c r="H64" s="7">
        <f t="shared" si="1"/>
        <v>1</v>
      </c>
    </row>
    <row r="65" spans="1:8" ht="25" customHeight="1" x14ac:dyDescent="0.35">
      <c r="A65" s="9" t="s">
        <v>1377</v>
      </c>
      <c r="B65" s="7" t="s">
        <v>1378</v>
      </c>
      <c r="C65" s="7" t="s">
        <v>4</v>
      </c>
      <c r="D65" s="7">
        <v>21</v>
      </c>
      <c r="E65" s="7" t="s">
        <v>5</v>
      </c>
      <c r="F65" s="7" t="s">
        <v>1379</v>
      </c>
      <c r="G65" s="7" t="s">
        <v>1380</v>
      </c>
      <c r="H65" s="7">
        <f t="shared" si="1"/>
        <v>1</v>
      </c>
    </row>
    <row r="66" spans="1:8" ht="25" customHeight="1" x14ac:dyDescent="0.35">
      <c r="A66" s="9" t="s">
        <v>1381</v>
      </c>
      <c r="B66" s="7" t="s">
        <v>1382</v>
      </c>
      <c r="C66" s="7" t="s">
        <v>4</v>
      </c>
      <c r="D66" s="7">
        <v>21</v>
      </c>
      <c r="E66" s="7" t="s">
        <v>5</v>
      </c>
      <c r="F66" s="7" t="s">
        <v>1379</v>
      </c>
      <c r="G66" s="7" t="s">
        <v>1380</v>
      </c>
      <c r="H66" s="7">
        <f t="shared" si="1"/>
        <v>1</v>
      </c>
    </row>
    <row r="67" spans="1:8" ht="25" customHeight="1" x14ac:dyDescent="0.35">
      <c r="A67" s="9" t="s">
        <v>1383</v>
      </c>
      <c r="B67" s="7" t="s">
        <v>1384</v>
      </c>
      <c r="C67" s="7" t="s">
        <v>4</v>
      </c>
      <c r="D67" s="7">
        <v>21</v>
      </c>
      <c r="E67" s="7" t="s">
        <v>5</v>
      </c>
      <c r="F67" s="7" t="s">
        <v>1385</v>
      </c>
      <c r="G67" s="7" t="s">
        <v>1386</v>
      </c>
      <c r="H67" s="7">
        <f t="shared" si="1"/>
        <v>1</v>
      </c>
    </row>
    <row r="68" spans="1:8" ht="25" customHeight="1" x14ac:dyDescent="0.35">
      <c r="A68" s="9" t="s">
        <v>1387</v>
      </c>
      <c r="B68" s="7" t="s">
        <v>1388</v>
      </c>
      <c r="C68" s="7" t="s">
        <v>4</v>
      </c>
      <c r="D68" s="7">
        <v>21</v>
      </c>
      <c r="E68" s="7" t="s">
        <v>5</v>
      </c>
      <c r="F68" s="7" t="s">
        <v>1389</v>
      </c>
      <c r="G68" s="7" t="s">
        <v>1390</v>
      </c>
      <c r="H68" s="7">
        <f t="shared" si="1"/>
        <v>1</v>
      </c>
    </row>
    <row r="69" spans="1:8" ht="25" customHeight="1" x14ac:dyDescent="0.35">
      <c r="A69" s="9" t="s">
        <v>1391</v>
      </c>
      <c r="B69" s="7" t="s">
        <v>1392</v>
      </c>
      <c r="C69" s="7" t="s">
        <v>4</v>
      </c>
      <c r="D69" s="7">
        <v>21</v>
      </c>
      <c r="E69" s="7" t="s">
        <v>5</v>
      </c>
      <c r="F69" s="7" t="s">
        <v>1393</v>
      </c>
      <c r="G69" s="7" t="s">
        <v>1394</v>
      </c>
      <c r="H69" s="7">
        <f t="shared" si="1"/>
        <v>1</v>
      </c>
    </row>
    <row r="70" spans="1:8" ht="25" customHeight="1" x14ac:dyDescent="0.35">
      <c r="A70" s="9" t="s">
        <v>1395</v>
      </c>
      <c r="B70" s="7" t="s">
        <v>1396</v>
      </c>
      <c r="C70" s="7" t="s">
        <v>4</v>
      </c>
      <c r="D70" s="7">
        <v>42</v>
      </c>
      <c r="E70" s="7" t="s">
        <v>5</v>
      </c>
      <c r="F70" s="7" t="s">
        <v>1397</v>
      </c>
      <c r="G70" s="7" t="s">
        <v>1398</v>
      </c>
      <c r="H70" s="7">
        <f t="shared" si="1"/>
        <v>2</v>
      </c>
    </row>
    <row r="71" spans="1:8" ht="25" customHeight="1" x14ac:dyDescent="0.35">
      <c r="A71" s="9" t="s">
        <v>1399</v>
      </c>
      <c r="B71" s="7" t="s">
        <v>1400</v>
      </c>
      <c r="C71" s="7" t="s">
        <v>4</v>
      </c>
      <c r="D71" s="7">
        <v>42</v>
      </c>
      <c r="E71" s="7" t="s">
        <v>5</v>
      </c>
      <c r="F71" s="7" t="s">
        <v>355</v>
      </c>
      <c r="G71" s="7" t="s">
        <v>1401</v>
      </c>
      <c r="H71" s="7">
        <f t="shared" si="1"/>
        <v>2</v>
      </c>
    </row>
    <row r="72" spans="1:8" ht="25" customHeight="1" x14ac:dyDescent="0.35">
      <c r="A72" s="9" t="s">
        <v>1402</v>
      </c>
      <c r="B72" s="7" t="s">
        <v>1403</v>
      </c>
      <c r="C72" s="7" t="s">
        <v>4</v>
      </c>
      <c r="D72" s="7">
        <v>21</v>
      </c>
      <c r="E72" s="7" t="s">
        <v>5</v>
      </c>
      <c r="F72" s="7" t="s">
        <v>1404</v>
      </c>
      <c r="G72" s="7" t="s">
        <v>1405</v>
      </c>
      <c r="H72" s="7">
        <f t="shared" si="1"/>
        <v>1</v>
      </c>
    </row>
    <row r="73" spans="1:8" ht="25" customHeight="1" x14ac:dyDescent="0.35">
      <c r="A73" s="9" t="s">
        <v>844</v>
      </c>
      <c r="B73" s="7" t="s">
        <v>845</v>
      </c>
      <c r="C73" s="7" t="s">
        <v>4</v>
      </c>
      <c r="D73" s="7">
        <v>21</v>
      </c>
      <c r="E73" s="7" t="s">
        <v>5</v>
      </c>
      <c r="F73" s="7" t="s">
        <v>1307</v>
      </c>
      <c r="G73" s="7" t="s">
        <v>1308</v>
      </c>
      <c r="H73" s="7">
        <f t="shared" si="1"/>
        <v>1</v>
      </c>
    </row>
    <row r="74" spans="1:8" ht="25" customHeight="1" x14ac:dyDescent="0.35">
      <c r="A74" s="9" t="s">
        <v>392</v>
      </c>
      <c r="B74" s="7" t="s">
        <v>393</v>
      </c>
      <c r="C74" s="7" t="s">
        <v>4</v>
      </c>
      <c r="D74" s="7">
        <v>21</v>
      </c>
      <c r="E74" s="7" t="s">
        <v>5</v>
      </c>
      <c r="F74" s="7" t="s">
        <v>1309</v>
      </c>
      <c r="G74" s="7" t="s">
        <v>1310</v>
      </c>
      <c r="H74" s="7">
        <f t="shared" si="1"/>
        <v>1</v>
      </c>
    </row>
    <row r="75" spans="1:8" ht="25" customHeight="1" x14ac:dyDescent="0.35">
      <c r="A75" s="9" t="s">
        <v>841</v>
      </c>
      <c r="B75" s="7" t="s">
        <v>842</v>
      </c>
      <c r="C75" s="7" t="s">
        <v>53</v>
      </c>
      <c r="D75" s="7">
        <v>21</v>
      </c>
      <c r="E75" s="7" t="s">
        <v>5</v>
      </c>
      <c r="F75" s="7" t="s">
        <v>1025</v>
      </c>
      <c r="G75" s="7" t="s">
        <v>1406</v>
      </c>
      <c r="H75" s="7">
        <f t="shared" si="1"/>
        <v>1</v>
      </c>
    </row>
    <row r="76" spans="1:8" ht="25" customHeight="1" x14ac:dyDescent="0.35">
      <c r="A76" s="9" t="s">
        <v>778</v>
      </c>
      <c r="B76" s="7" t="s">
        <v>779</v>
      </c>
      <c r="C76" s="7" t="s">
        <v>53</v>
      </c>
      <c r="D76" s="7">
        <v>21</v>
      </c>
      <c r="E76" s="7" t="s">
        <v>5</v>
      </c>
      <c r="F76" s="7" t="s">
        <v>1407</v>
      </c>
      <c r="G76" s="7" t="s">
        <v>1408</v>
      </c>
      <c r="H76" s="7">
        <f t="shared" si="1"/>
        <v>1</v>
      </c>
    </row>
    <row r="77" spans="1:8" ht="25" customHeight="1" x14ac:dyDescent="0.35">
      <c r="A77" s="9" t="s">
        <v>1409</v>
      </c>
      <c r="B77" s="7" t="s">
        <v>1410</v>
      </c>
      <c r="C77" s="7" t="s">
        <v>4</v>
      </c>
      <c r="D77" s="7">
        <v>21</v>
      </c>
      <c r="E77" s="7" t="s">
        <v>5</v>
      </c>
      <c r="F77" s="7" t="s">
        <v>1411</v>
      </c>
      <c r="G77" s="7" t="s">
        <v>1412</v>
      </c>
      <c r="H77" s="7">
        <f t="shared" si="1"/>
        <v>1</v>
      </c>
    </row>
    <row r="78" spans="1:8" ht="25" customHeight="1" x14ac:dyDescent="0.35">
      <c r="A78" s="9" t="s">
        <v>1413</v>
      </c>
      <c r="B78" s="7" t="s">
        <v>1414</v>
      </c>
      <c r="C78" s="7" t="s">
        <v>4</v>
      </c>
      <c r="D78" s="7">
        <v>21</v>
      </c>
      <c r="E78" s="7" t="s">
        <v>5</v>
      </c>
      <c r="F78" s="7" t="s">
        <v>1415</v>
      </c>
      <c r="G78" s="7" t="s">
        <v>1416</v>
      </c>
      <c r="H78" s="7">
        <f t="shared" si="1"/>
        <v>1</v>
      </c>
    </row>
    <row r="79" spans="1:8" ht="25" customHeight="1" x14ac:dyDescent="0.35">
      <c r="A79" s="9" t="s">
        <v>1417</v>
      </c>
      <c r="B79" s="7" t="s">
        <v>1418</v>
      </c>
      <c r="C79" s="7" t="s">
        <v>4</v>
      </c>
      <c r="D79" s="7">
        <v>21</v>
      </c>
      <c r="E79" s="7" t="s">
        <v>5</v>
      </c>
      <c r="F79" s="7" t="s">
        <v>1419</v>
      </c>
      <c r="G79" s="7" t="s">
        <v>1420</v>
      </c>
      <c r="H79" s="7">
        <f t="shared" si="1"/>
        <v>1</v>
      </c>
    </row>
    <row r="80" spans="1:8" ht="25" customHeight="1" x14ac:dyDescent="0.35">
      <c r="A80" s="9" t="s">
        <v>1421</v>
      </c>
      <c r="B80" s="7" t="s">
        <v>1422</v>
      </c>
      <c r="C80" s="7" t="s">
        <v>53</v>
      </c>
      <c r="D80" s="7">
        <v>21</v>
      </c>
      <c r="E80" s="7" t="s">
        <v>5</v>
      </c>
      <c r="F80" s="7" t="s">
        <v>963</v>
      </c>
      <c r="G80" s="7" t="s">
        <v>1270</v>
      </c>
      <c r="H80" s="7">
        <f t="shared" si="1"/>
        <v>1</v>
      </c>
    </row>
    <row r="81" spans="1:8" ht="25" customHeight="1" x14ac:dyDescent="0.35">
      <c r="A81" s="9" t="s">
        <v>633</v>
      </c>
      <c r="B81" s="7" t="s">
        <v>634</v>
      </c>
      <c r="C81" s="7" t="s">
        <v>4</v>
      </c>
      <c r="D81" s="7">
        <v>21</v>
      </c>
      <c r="E81" s="7" t="s">
        <v>5</v>
      </c>
      <c r="F81" s="7" t="s">
        <v>1423</v>
      </c>
      <c r="G81" s="7" t="s">
        <v>1424</v>
      </c>
      <c r="H81" s="7">
        <f t="shared" ref="H81:H83" si="2">D81/21</f>
        <v>1</v>
      </c>
    </row>
    <row r="82" spans="1:8" ht="25" customHeight="1" x14ac:dyDescent="0.35">
      <c r="A82" s="9" t="s">
        <v>531</v>
      </c>
      <c r="B82" s="7" t="s">
        <v>532</v>
      </c>
      <c r="C82" s="7" t="s">
        <v>4</v>
      </c>
      <c r="D82" s="7">
        <v>21</v>
      </c>
      <c r="E82" s="7" t="s">
        <v>5</v>
      </c>
      <c r="F82" s="7" t="s">
        <v>1425</v>
      </c>
      <c r="G82" s="7" t="s">
        <v>1426</v>
      </c>
      <c r="H82" s="7">
        <f t="shared" si="2"/>
        <v>1</v>
      </c>
    </row>
    <row r="83" spans="1:8" ht="25" customHeight="1" x14ac:dyDescent="0.35">
      <c r="A83" s="9" t="s">
        <v>637</v>
      </c>
      <c r="B83" s="7" t="s">
        <v>638</v>
      </c>
      <c r="C83" s="7" t="s">
        <v>4</v>
      </c>
      <c r="D83" s="7">
        <v>21</v>
      </c>
      <c r="E83" s="7" t="s">
        <v>5</v>
      </c>
      <c r="F83" s="7" t="s">
        <v>1427</v>
      </c>
      <c r="G83" s="7" t="s">
        <v>1428</v>
      </c>
      <c r="H83" s="7">
        <f t="shared" si="2"/>
        <v>1</v>
      </c>
    </row>
    <row r="84" spans="1:8" ht="25" customHeight="1" x14ac:dyDescent="0.35">
      <c r="A84" s="13"/>
      <c r="B84" s="14"/>
      <c r="C84" s="14"/>
      <c r="D84" s="14"/>
      <c r="E84" s="14"/>
      <c r="F84" s="15"/>
      <c r="G84" s="10" t="s">
        <v>3496</v>
      </c>
      <c r="H84" s="7">
        <f>SUM(H2:H83)</f>
        <v>121</v>
      </c>
    </row>
  </sheetData>
  <mergeCells count="1">
    <mergeCell ref="A84:F8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1" orientation="portrait" r:id="rId1"/>
  <headerFooter>
    <oddFooter>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1CA5-7A19-4915-95B5-4D0DDC249FD9}">
  <dimension ref="A1:H33"/>
  <sheetViews>
    <sheetView view="pageBreakPreview" topLeftCell="A28" zoomScale="85" zoomScaleNormal="85" zoomScaleSheetLayoutView="85" workbookViewId="0">
      <selection activeCell="H33" sqref="G33:H33"/>
    </sheetView>
  </sheetViews>
  <sheetFormatPr defaultColWidth="36.54296875" defaultRowHeight="16" x14ac:dyDescent="0.35"/>
  <cols>
    <col min="1" max="1" width="15.08984375" style="1" customWidth="1"/>
    <col min="2" max="2" width="50" style="1" customWidth="1"/>
    <col min="3" max="3" width="6.36328125" style="1" customWidth="1"/>
    <col min="4" max="4" width="8.81640625" style="1" customWidth="1"/>
    <col min="5" max="5" width="6.7265625" style="1" customWidth="1"/>
    <col min="6" max="6" width="7.26953125" style="1" bestFit="1" customWidth="1"/>
    <col min="7" max="7" width="8.453125" style="1" bestFit="1" customWidth="1"/>
    <col min="8" max="8" width="8.36328125" style="1" bestFit="1" customWidth="1"/>
    <col min="9" max="16384" width="36.54296875" style="1"/>
  </cols>
  <sheetData>
    <row r="1" spans="1:8" ht="43" customHeight="1" x14ac:dyDescent="0.35">
      <c r="A1" s="5" t="s">
        <v>3483</v>
      </c>
      <c r="B1" s="6" t="s">
        <v>1429</v>
      </c>
      <c r="C1" s="6" t="s">
        <v>3480</v>
      </c>
      <c r="D1" s="6" t="s">
        <v>3488</v>
      </c>
      <c r="E1" s="6" t="s">
        <v>3484</v>
      </c>
      <c r="F1" s="6" t="s">
        <v>3481</v>
      </c>
      <c r="G1" s="6" t="s">
        <v>3482</v>
      </c>
      <c r="H1" s="6" t="s">
        <v>3487</v>
      </c>
    </row>
    <row r="2" spans="1:8" ht="43" customHeight="1" x14ac:dyDescent="0.35">
      <c r="A2" s="8" t="s">
        <v>1430</v>
      </c>
      <c r="B2" s="8" t="s">
        <v>1431</v>
      </c>
      <c r="C2" s="7" t="s">
        <v>4</v>
      </c>
      <c r="D2" s="7">
        <v>33</v>
      </c>
      <c r="E2" s="7" t="s">
        <v>5</v>
      </c>
      <c r="F2" s="7" t="s">
        <v>1432</v>
      </c>
      <c r="G2" s="7" t="s">
        <v>1433</v>
      </c>
      <c r="H2" s="7">
        <f>D2/33</f>
        <v>1</v>
      </c>
    </row>
    <row r="3" spans="1:8" ht="53" customHeight="1" x14ac:dyDescent="0.35">
      <c r="A3" s="8" t="s">
        <v>1434</v>
      </c>
      <c r="B3" s="8" t="s">
        <v>1435</v>
      </c>
      <c r="C3" s="7" t="s">
        <v>4</v>
      </c>
      <c r="D3" s="7">
        <v>33</v>
      </c>
      <c r="E3" s="7" t="s">
        <v>5</v>
      </c>
      <c r="F3" s="7" t="s">
        <v>1432</v>
      </c>
      <c r="G3" s="7" t="s">
        <v>1433</v>
      </c>
      <c r="H3" s="7">
        <f t="shared" ref="H3:H32" si="0">D3/33</f>
        <v>1</v>
      </c>
    </row>
    <row r="4" spans="1:8" ht="43" customHeight="1" x14ac:dyDescent="0.35">
      <c r="A4" s="8" t="s">
        <v>1436</v>
      </c>
      <c r="B4" s="8" t="s">
        <v>1437</v>
      </c>
      <c r="C4" s="7" t="s">
        <v>4</v>
      </c>
      <c r="D4" s="7">
        <v>33</v>
      </c>
      <c r="E4" s="7" t="s">
        <v>5</v>
      </c>
      <c r="F4" s="7" t="s">
        <v>1432</v>
      </c>
      <c r="G4" s="7" t="s">
        <v>1433</v>
      </c>
      <c r="H4" s="7">
        <f t="shared" si="0"/>
        <v>1</v>
      </c>
    </row>
    <row r="5" spans="1:8" ht="43" customHeight="1" x14ac:dyDescent="0.35">
      <c r="A5" s="8" t="s">
        <v>1438</v>
      </c>
      <c r="B5" s="8" t="s">
        <v>1439</v>
      </c>
      <c r="C5" s="7" t="s">
        <v>4</v>
      </c>
      <c r="D5" s="7">
        <v>33</v>
      </c>
      <c r="E5" s="7" t="s">
        <v>5</v>
      </c>
      <c r="F5" s="7" t="s">
        <v>1432</v>
      </c>
      <c r="G5" s="7" t="s">
        <v>1433</v>
      </c>
      <c r="H5" s="7">
        <f t="shared" si="0"/>
        <v>1</v>
      </c>
    </row>
    <row r="6" spans="1:8" ht="43" customHeight="1" x14ac:dyDescent="0.35">
      <c r="A6" s="8" t="s">
        <v>1440</v>
      </c>
      <c r="B6" s="8" t="s">
        <v>1441</v>
      </c>
      <c r="C6" s="7" t="s">
        <v>4</v>
      </c>
      <c r="D6" s="7">
        <v>33</v>
      </c>
      <c r="E6" s="7" t="s">
        <v>5</v>
      </c>
      <c r="F6" s="7" t="s">
        <v>1442</v>
      </c>
      <c r="G6" s="7" t="s">
        <v>1443</v>
      </c>
      <c r="H6" s="7">
        <f t="shared" si="0"/>
        <v>1</v>
      </c>
    </row>
    <row r="7" spans="1:8" ht="43" customHeight="1" x14ac:dyDescent="0.35">
      <c r="A7" s="8" t="s">
        <v>1444</v>
      </c>
      <c r="B7" s="8" t="s">
        <v>1445</v>
      </c>
      <c r="C7" s="7" t="s">
        <v>4</v>
      </c>
      <c r="D7" s="7">
        <v>33</v>
      </c>
      <c r="E7" s="7" t="s">
        <v>5</v>
      </c>
      <c r="F7" s="7" t="s">
        <v>1442</v>
      </c>
      <c r="G7" s="7" t="s">
        <v>1443</v>
      </c>
      <c r="H7" s="7">
        <f t="shared" si="0"/>
        <v>1</v>
      </c>
    </row>
    <row r="8" spans="1:8" ht="43" customHeight="1" x14ac:dyDescent="0.35">
      <c r="A8" s="8" t="s">
        <v>1446</v>
      </c>
      <c r="B8" s="8" t="s">
        <v>1447</v>
      </c>
      <c r="C8" s="7" t="s">
        <v>4</v>
      </c>
      <c r="D8" s="7">
        <v>33</v>
      </c>
      <c r="E8" s="7" t="s">
        <v>5</v>
      </c>
      <c r="F8" s="7" t="s">
        <v>1448</v>
      </c>
      <c r="G8" s="7" t="s">
        <v>1449</v>
      </c>
      <c r="H8" s="7">
        <f t="shared" si="0"/>
        <v>1</v>
      </c>
    </row>
    <row r="9" spans="1:8" ht="43" customHeight="1" x14ac:dyDescent="0.35">
      <c r="A9" s="8" t="s">
        <v>1450</v>
      </c>
      <c r="B9" s="8" t="s">
        <v>1451</v>
      </c>
      <c r="C9" s="7" t="s">
        <v>4</v>
      </c>
      <c r="D9" s="7">
        <v>33</v>
      </c>
      <c r="E9" s="7" t="s">
        <v>5</v>
      </c>
      <c r="F9" s="7" t="s">
        <v>1448</v>
      </c>
      <c r="G9" s="7" t="s">
        <v>1449</v>
      </c>
      <c r="H9" s="7">
        <f t="shared" si="0"/>
        <v>1</v>
      </c>
    </row>
    <row r="10" spans="1:8" ht="43" customHeight="1" x14ac:dyDescent="0.35">
      <c r="A10" s="8" t="s">
        <v>1452</v>
      </c>
      <c r="B10" s="8" t="s">
        <v>1453</v>
      </c>
      <c r="C10" s="7" t="s">
        <v>4</v>
      </c>
      <c r="D10" s="7">
        <v>66</v>
      </c>
      <c r="E10" s="7" t="s">
        <v>1454</v>
      </c>
      <c r="F10" s="7" t="s">
        <v>1455</v>
      </c>
      <c r="G10" s="7" t="s">
        <v>1456</v>
      </c>
      <c r="H10" s="7">
        <f t="shared" si="0"/>
        <v>2</v>
      </c>
    </row>
    <row r="11" spans="1:8" ht="43" customHeight="1" x14ac:dyDescent="0.35">
      <c r="A11" s="8" t="s">
        <v>1457</v>
      </c>
      <c r="B11" s="8" t="s">
        <v>3485</v>
      </c>
      <c r="C11" s="7" t="s">
        <v>4</v>
      </c>
      <c r="D11" s="7">
        <v>66</v>
      </c>
      <c r="E11" s="7" t="s">
        <v>1454</v>
      </c>
      <c r="F11" s="7" t="s">
        <v>1455</v>
      </c>
      <c r="G11" s="7" t="s">
        <v>1456</v>
      </c>
      <c r="H11" s="7">
        <f t="shared" si="0"/>
        <v>2</v>
      </c>
    </row>
    <row r="12" spans="1:8" ht="43" customHeight="1" x14ac:dyDescent="0.35">
      <c r="A12" s="8" t="s">
        <v>1458</v>
      </c>
      <c r="B12" s="8" t="s">
        <v>1459</v>
      </c>
      <c r="C12" s="7" t="s">
        <v>4</v>
      </c>
      <c r="D12" s="7">
        <v>66</v>
      </c>
      <c r="E12" s="7" t="s">
        <v>1454</v>
      </c>
      <c r="F12" s="7" t="s">
        <v>1460</v>
      </c>
      <c r="G12" s="7" t="s">
        <v>1461</v>
      </c>
      <c r="H12" s="7">
        <f t="shared" si="0"/>
        <v>2</v>
      </c>
    </row>
    <row r="13" spans="1:8" ht="43" customHeight="1" x14ac:dyDescent="0.35">
      <c r="A13" s="8" t="s">
        <v>1462</v>
      </c>
      <c r="B13" s="8" t="s">
        <v>1463</v>
      </c>
      <c r="C13" s="7" t="s">
        <v>4</v>
      </c>
      <c r="D13" s="7">
        <v>66</v>
      </c>
      <c r="E13" s="7" t="s">
        <v>1454</v>
      </c>
      <c r="F13" s="7" t="s">
        <v>1460</v>
      </c>
      <c r="G13" s="7" t="s">
        <v>1461</v>
      </c>
      <c r="H13" s="7">
        <f t="shared" si="0"/>
        <v>2</v>
      </c>
    </row>
    <row r="14" spans="1:8" ht="43" customHeight="1" x14ac:dyDescent="0.35">
      <c r="A14" s="8" t="s">
        <v>1464</v>
      </c>
      <c r="B14" s="8" t="s">
        <v>3493</v>
      </c>
      <c r="C14" s="7" t="s">
        <v>4</v>
      </c>
      <c r="D14" s="7">
        <v>66</v>
      </c>
      <c r="E14" s="7" t="s">
        <v>1454</v>
      </c>
      <c r="F14" s="7" t="s">
        <v>1465</v>
      </c>
      <c r="G14" s="7" t="s">
        <v>1466</v>
      </c>
      <c r="H14" s="7">
        <f t="shared" si="0"/>
        <v>2</v>
      </c>
    </row>
    <row r="15" spans="1:8" ht="43" customHeight="1" x14ac:dyDescent="0.35">
      <c r="A15" s="8" t="s">
        <v>1467</v>
      </c>
      <c r="B15" s="8" t="s">
        <v>3494</v>
      </c>
      <c r="C15" s="7" t="s">
        <v>4</v>
      </c>
      <c r="D15" s="7">
        <v>66</v>
      </c>
      <c r="E15" s="7" t="s">
        <v>1454</v>
      </c>
      <c r="F15" s="7" t="s">
        <v>1465</v>
      </c>
      <c r="G15" s="7" t="s">
        <v>1466</v>
      </c>
      <c r="H15" s="7">
        <f t="shared" si="0"/>
        <v>2</v>
      </c>
    </row>
    <row r="16" spans="1:8" ht="43" customHeight="1" x14ac:dyDescent="0.35">
      <c r="A16" s="8" t="s">
        <v>1468</v>
      </c>
      <c r="B16" s="8" t="s">
        <v>1469</v>
      </c>
      <c r="C16" s="7" t="s">
        <v>4</v>
      </c>
      <c r="D16" s="7">
        <v>66</v>
      </c>
      <c r="E16" s="7" t="s">
        <v>1454</v>
      </c>
      <c r="F16" s="7" t="s">
        <v>1470</v>
      </c>
      <c r="G16" s="7" t="s">
        <v>1471</v>
      </c>
      <c r="H16" s="7">
        <f t="shared" si="0"/>
        <v>2</v>
      </c>
    </row>
    <row r="17" spans="1:8" ht="43" customHeight="1" x14ac:dyDescent="0.35">
      <c r="A17" s="8" t="s">
        <v>1472</v>
      </c>
      <c r="B17" s="8" t="s">
        <v>3491</v>
      </c>
      <c r="C17" s="7" t="s">
        <v>4</v>
      </c>
      <c r="D17" s="7">
        <v>66</v>
      </c>
      <c r="E17" s="7" t="s">
        <v>1454</v>
      </c>
      <c r="F17" s="7" t="s">
        <v>1470</v>
      </c>
      <c r="G17" s="7" t="s">
        <v>1471</v>
      </c>
      <c r="H17" s="7">
        <f t="shared" si="0"/>
        <v>2</v>
      </c>
    </row>
    <row r="18" spans="1:8" ht="43" customHeight="1" x14ac:dyDescent="0.35">
      <c r="A18" s="8" t="s">
        <v>1473</v>
      </c>
      <c r="B18" s="8" t="s">
        <v>1474</v>
      </c>
      <c r="C18" s="7" t="s">
        <v>4</v>
      </c>
      <c r="D18" s="7">
        <v>33</v>
      </c>
      <c r="E18" s="7" t="s">
        <v>5</v>
      </c>
      <c r="F18" s="7" t="s">
        <v>717</v>
      </c>
      <c r="G18" s="7" t="s">
        <v>1475</v>
      </c>
      <c r="H18" s="7">
        <f t="shared" si="0"/>
        <v>1</v>
      </c>
    </row>
    <row r="19" spans="1:8" ht="43" customHeight="1" x14ac:dyDescent="0.35">
      <c r="A19" s="7" t="s">
        <v>1476</v>
      </c>
      <c r="B19" s="7" t="s">
        <v>1477</v>
      </c>
      <c r="C19" s="7" t="s">
        <v>4</v>
      </c>
      <c r="D19" s="7">
        <v>33</v>
      </c>
      <c r="E19" s="7" t="s">
        <v>5</v>
      </c>
      <c r="F19" s="7" t="s">
        <v>1478</v>
      </c>
      <c r="G19" s="7" t="s">
        <v>1479</v>
      </c>
      <c r="H19" s="7">
        <f t="shared" si="0"/>
        <v>1</v>
      </c>
    </row>
    <row r="20" spans="1:8" ht="43" customHeight="1" x14ac:dyDescent="0.35">
      <c r="A20" s="7" t="s">
        <v>1480</v>
      </c>
      <c r="B20" s="7" t="s">
        <v>1481</v>
      </c>
      <c r="C20" s="7" t="s">
        <v>4</v>
      </c>
      <c r="D20" s="7">
        <v>33</v>
      </c>
      <c r="E20" s="7" t="s">
        <v>5</v>
      </c>
      <c r="F20" s="7" t="s">
        <v>1482</v>
      </c>
      <c r="G20" s="7" t="s">
        <v>1483</v>
      </c>
      <c r="H20" s="7">
        <f t="shared" si="0"/>
        <v>1</v>
      </c>
    </row>
    <row r="21" spans="1:8" ht="43" customHeight="1" x14ac:dyDescent="0.35">
      <c r="A21" s="7" t="s">
        <v>1484</v>
      </c>
      <c r="B21" s="7" t="s">
        <v>1485</v>
      </c>
      <c r="C21" s="7" t="s">
        <v>4</v>
      </c>
      <c r="D21" s="7">
        <v>33</v>
      </c>
      <c r="E21" s="7" t="s">
        <v>5</v>
      </c>
      <c r="F21" s="7" t="s">
        <v>1486</v>
      </c>
      <c r="G21" s="7" t="s">
        <v>1487</v>
      </c>
      <c r="H21" s="7">
        <f t="shared" si="0"/>
        <v>1</v>
      </c>
    </row>
    <row r="22" spans="1:8" ht="43" customHeight="1" x14ac:dyDescent="0.35">
      <c r="A22" s="7" t="s">
        <v>1488</v>
      </c>
      <c r="B22" s="7" t="s">
        <v>1489</v>
      </c>
      <c r="C22" s="7" t="s">
        <v>4</v>
      </c>
      <c r="D22" s="7">
        <v>33</v>
      </c>
      <c r="E22" s="7" t="s">
        <v>5</v>
      </c>
      <c r="F22" s="7" t="s">
        <v>1490</v>
      </c>
      <c r="G22" s="7" t="s">
        <v>1491</v>
      </c>
      <c r="H22" s="7">
        <f t="shared" si="0"/>
        <v>1</v>
      </c>
    </row>
    <row r="23" spans="1:8" ht="43" customHeight="1" x14ac:dyDescent="0.35">
      <c r="A23" s="7" t="s">
        <v>1492</v>
      </c>
      <c r="B23" s="7" t="s">
        <v>1493</v>
      </c>
      <c r="C23" s="7" t="s">
        <v>4</v>
      </c>
      <c r="D23" s="7">
        <v>33</v>
      </c>
      <c r="E23" s="7" t="s">
        <v>5</v>
      </c>
      <c r="F23" s="7" t="s">
        <v>1494</v>
      </c>
      <c r="G23" s="7" t="s">
        <v>1495</v>
      </c>
      <c r="H23" s="7">
        <f t="shared" si="0"/>
        <v>1</v>
      </c>
    </row>
    <row r="24" spans="1:8" ht="43" customHeight="1" x14ac:dyDescent="0.35">
      <c r="A24" s="7" t="s">
        <v>1496</v>
      </c>
      <c r="B24" s="7" t="s">
        <v>1497</v>
      </c>
      <c r="C24" s="7" t="s">
        <v>4</v>
      </c>
      <c r="D24" s="7">
        <v>33</v>
      </c>
      <c r="E24" s="7" t="s">
        <v>5</v>
      </c>
      <c r="F24" s="7" t="s">
        <v>1498</v>
      </c>
      <c r="G24" s="7" t="s">
        <v>1499</v>
      </c>
      <c r="H24" s="7">
        <f t="shared" si="0"/>
        <v>1</v>
      </c>
    </row>
    <row r="25" spans="1:8" ht="43" customHeight="1" x14ac:dyDescent="0.35">
      <c r="A25" s="7" t="s">
        <v>1500</v>
      </c>
      <c r="B25" s="7" t="s">
        <v>1501</v>
      </c>
      <c r="C25" s="7" t="s">
        <v>4</v>
      </c>
      <c r="D25" s="7">
        <v>33</v>
      </c>
      <c r="E25" s="7" t="s">
        <v>5</v>
      </c>
      <c r="F25" s="7" t="s">
        <v>1502</v>
      </c>
      <c r="G25" s="7" t="s">
        <v>1503</v>
      </c>
      <c r="H25" s="7">
        <f t="shared" si="0"/>
        <v>1</v>
      </c>
    </row>
    <row r="26" spans="1:8" ht="43" customHeight="1" x14ac:dyDescent="0.35">
      <c r="A26" s="7" t="s">
        <v>1504</v>
      </c>
      <c r="B26" s="7" t="s">
        <v>1505</v>
      </c>
      <c r="C26" s="7" t="s">
        <v>4</v>
      </c>
      <c r="D26" s="7">
        <v>33</v>
      </c>
      <c r="E26" s="7" t="s">
        <v>5</v>
      </c>
      <c r="F26" s="7" t="s">
        <v>1506</v>
      </c>
      <c r="G26" s="7" t="s">
        <v>1507</v>
      </c>
      <c r="H26" s="7">
        <f t="shared" si="0"/>
        <v>1</v>
      </c>
    </row>
    <row r="27" spans="1:8" ht="43" customHeight="1" x14ac:dyDescent="0.35">
      <c r="A27" s="7" t="s">
        <v>1508</v>
      </c>
      <c r="B27" s="7" t="s">
        <v>1509</v>
      </c>
      <c r="C27" s="7" t="s">
        <v>4</v>
      </c>
      <c r="D27" s="7">
        <v>33</v>
      </c>
      <c r="E27" s="7" t="s">
        <v>5</v>
      </c>
      <c r="F27" s="7" t="s">
        <v>1510</v>
      </c>
      <c r="G27" s="7" t="s">
        <v>1511</v>
      </c>
      <c r="H27" s="7">
        <f t="shared" si="0"/>
        <v>1</v>
      </c>
    </row>
    <row r="28" spans="1:8" ht="43" customHeight="1" x14ac:dyDescent="0.35">
      <c r="A28" s="7" t="s">
        <v>1512</v>
      </c>
      <c r="B28" s="7" t="s">
        <v>1513</v>
      </c>
      <c r="C28" s="7" t="s">
        <v>4</v>
      </c>
      <c r="D28" s="7">
        <v>33</v>
      </c>
      <c r="E28" s="7" t="s">
        <v>5</v>
      </c>
      <c r="F28" s="7" t="s">
        <v>1514</v>
      </c>
      <c r="G28" s="7" t="s">
        <v>1515</v>
      </c>
      <c r="H28" s="7">
        <f t="shared" si="0"/>
        <v>1</v>
      </c>
    </row>
    <row r="29" spans="1:8" ht="43" customHeight="1" x14ac:dyDescent="0.35">
      <c r="A29" s="7" t="s">
        <v>1516</v>
      </c>
      <c r="B29" s="7" t="s">
        <v>1517</v>
      </c>
      <c r="C29" s="7" t="s">
        <v>4</v>
      </c>
      <c r="D29" s="7">
        <v>33</v>
      </c>
      <c r="E29" s="7" t="s">
        <v>5</v>
      </c>
      <c r="F29" s="7" t="s">
        <v>1518</v>
      </c>
      <c r="G29" s="7" t="s">
        <v>1519</v>
      </c>
      <c r="H29" s="7">
        <f t="shared" si="0"/>
        <v>1</v>
      </c>
    </row>
    <row r="30" spans="1:8" ht="43" customHeight="1" x14ac:dyDescent="0.35">
      <c r="A30" s="7" t="s">
        <v>1520</v>
      </c>
      <c r="B30" s="7" t="s">
        <v>1521</v>
      </c>
      <c r="C30" s="7" t="s">
        <v>4</v>
      </c>
      <c r="D30" s="7">
        <v>33</v>
      </c>
      <c r="E30" s="7" t="s">
        <v>5</v>
      </c>
      <c r="F30" s="7" t="s">
        <v>1522</v>
      </c>
      <c r="G30" s="7" t="s">
        <v>1523</v>
      </c>
      <c r="H30" s="7">
        <f t="shared" si="0"/>
        <v>1</v>
      </c>
    </row>
    <row r="31" spans="1:8" ht="43" customHeight="1" x14ac:dyDescent="0.35">
      <c r="A31" s="7" t="s">
        <v>1524</v>
      </c>
      <c r="B31" s="7" t="s">
        <v>1525</v>
      </c>
      <c r="C31" s="7" t="s">
        <v>4</v>
      </c>
      <c r="D31" s="7">
        <v>33</v>
      </c>
      <c r="E31" s="7" t="s">
        <v>5</v>
      </c>
      <c r="F31" s="7" t="s">
        <v>1526</v>
      </c>
      <c r="G31" s="7" t="s">
        <v>1527</v>
      </c>
      <c r="H31" s="7">
        <f t="shared" si="0"/>
        <v>1</v>
      </c>
    </row>
    <row r="32" spans="1:8" ht="43" customHeight="1" x14ac:dyDescent="0.35">
      <c r="A32" s="7" t="s">
        <v>1528</v>
      </c>
      <c r="B32" s="7" t="s">
        <v>1529</v>
      </c>
      <c r="C32" s="7" t="s">
        <v>4</v>
      </c>
      <c r="D32" s="7">
        <v>33</v>
      </c>
      <c r="E32" s="7" t="s">
        <v>5</v>
      </c>
      <c r="F32" s="7" t="s">
        <v>1530</v>
      </c>
      <c r="G32" s="7" t="s">
        <v>1531</v>
      </c>
      <c r="H32" s="7">
        <f t="shared" si="0"/>
        <v>1</v>
      </c>
    </row>
    <row r="33" spans="7:8" x14ac:dyDescent="0.35">
      <c r="G33" s="2" t="s">
        <v>3496</v>
      </c>
      <c r="H33" s="2">
        <f>SUM(H2:H32)</f>
        <v>39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4B8F-2DBE-4DA8-82A3-24BF7561C07C}">
  <dimension ref="A1:H69"/>
  <sheetViews>
    <sheetView view="pageBreakPreview" topLeftCell="A25" zoomScale="85" zoomScaleNormal="85" zoomScaleSheetLayoutView="85" workbookViewId="0">
      <selection activeCell="A36" sqref="A36"/>
    </sheetView>
  </sheetViews>
  <sheetFormatPr defaultColWidth="36.54296875" defaultRowHeight="16" x14ac:dyDescent="0.35"/>
  <cols>
    <col min="1" max="1" width="15.08984375" style="1" customWidth="1"/>
    <col min="2" max="2" width="46.81640625" style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12.54296875" style="1" bestFit="1" customWidth="1"/>
    <col min="8" max="8" width="7.906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1532</v>
      </c>
      <c r="C1" s="6" t="s">
        <v>3480</v>
      </c>
      <c r="D1" s="6" t="s">
        <v>3488</v>
      </c>
      <c r="E1" s="6" t="s">
        <v>3484</v>
      </c>
      <c r="F1" s="6" t="s">
        <v>3481</v>
      </c>
      <c r="G1" s="6" t="s">
        <v>3482</v>
      </c>
      <c r="H1" s="6" t="s">
        <v>3495</v>
      </c>
    </row>
    <row r="2" spans="1:8" ht="25" customHeight="1" x14ac:dyDescent="0.35">
      <c r="A2" s="7" t="s">
        <v>47</v>
      </c>
      <c r="B2" s="7" t="s">
        <v>48</v>
      </c>
      <c r="C2" s="7" t="s">
        <v>4</v>
      </c>
      <c r="D2" s="7">
        <v>26</v>
      </c>
      <c r="E2" s="7" t="s">
        <v>5</v>
      </c>
      <c r="F2" s="7" t="s">
        <v>1533</v>
      </c>
      <c r="G2" s="7" t="s">
        <v>1534</v>
      </c>
      <c r="H2" s="7">
        <f>D2/26</f>
        <v>1</v>
      </c>
    </row>
    <row r="3" spans="1:8" ht="25" customHeight="1" x14ac:dyDescent="0.35">
      <c r="A3" s="7" t="s">
        <v>1323</v>
      </c>
      <c r="B3" s="7" t="s">
        <v>1324</v>
      </c>
      <c r="C3" s="7" t="s">
        <v>4</v>
      </c>
      <c r="D3" s="7">
        <v>26</v>
      </c>
      <c r="E3" s="7" t="s">
        <v>5</v>
      </c>
      <c r="F3" s="7" t="s">
        <v>1535</v>
      </c>
      <c r="G3" s="7" t="s">
        <v>1536</v>
      </c>
      <c r="H3" s="7">
        <f t="shared" ref="H3:H66" si="0">D3/26</f>
        <v>1</v>
      </c>
    </row>
    <row r="4" spans="1:8" ht="25" customHeight="1" x14ac:dyDescent="0.35">
      <c r="A4" s="7" t="s">
        <v>1537</v>
      </c>
      <c r="B4" s="7" t="s">
        <v>1538</v>
      </c>
      <c r="C4" s="7" t="s">
        <v>4</v>
      </c>
      <c r="D4" s="7">
        <v>26</v>
      </c>
      <c r="E4" s="7" t="s">
        <v>5</v>
      </c>
      <c r="F4" s="7" t="s">
        <v>1539</v>
      </c>
      <c r="G4" s="7" t="s">
        <v>1540</v>
      </c>
      <c r="H4" s="7">
        <f t="shared" si="0"/>
        <v>1</v>
      </c>
    </row>
    <row r="5" spans="1:8" ht="25" customHeight="1" x14ac:dyDescent="0.35">
      <c r="A5" s="7" t="s">
        <v>1541</v>
      </c>
      <c r="B5" s="7" t="s">
        <v>1542</v>
      </c>
      <c r="C5" s="7" t="s">
        <v>4</v>
      </c>
      <c r="D5" s="7">
        <v>26</v>
      </c>
      <c r="E5" s="7" t="s">
        <v>5</v>
      </c>
      <c r="F5" s="7" t="s">
        <v>1539</v>
      </c>
      <c r="G5" s="7" t="s">
        <v>1540</v>
      </c>
      <c r="H5" s="7">
        <f t="shared" si="0"/>
        <v>1</v>
      </c>
    </row>
    <row r="6" spans="1:8" ht="25" customHeight="1" x14ac:dyDescent="0.35">
      <c r="A6" s="7" t="s">
        <v>1543</v>
      </c>
      <c r="B6" s="7" t="s">
        <v>1544</v>
      </c>
      <c r="C6" s="7" t="s">
        <v>4</v>
      </c>
      <c r="D6" s="7">
        <v>26</v>
      </c>
      <c r="E6" s="7" t="s">
        <v>5</v>
      </c>
      <c r="F6" s="7" t="s">
        <v>1545</v>
      </c>
      <c r="G6" s="7" t="s">
        <v>1546</v>
      </c>
      <c r="H6" s="7">
        <f t="shared" si="0"/>
        <v>1</v>
      </c>
    </row>
    <row r="7" spans="1:8" ht="25" customHeight="1" x14ac:dyDescent="0.35">
      <c r="A7" s="7" t="s">
        <v>1547</v>
      </c>
      <c r="B7" s="7" t="s">
        <v>1548</v>
      </c>
      <c r="C7" s="7" t="s">
        <v>4</v>
      </c>
      <c r="D7" s="7">
        <v>26</v>
      </c>
      <c r="E7" s="7" t="s">
        <v>5</v>
      </c>
      <c r="F7" s="7" t="s">
        <v>1549</v>
      </c>
      <c r="G7" s="7" t="s">
        <v>1550</v>
      </c>
      <c r="H7" s="7">
        <f t="shared" si="0"/>
        <v>1</v>
      </c>
    </row>
    <row r="8" spans="1:8" ht="25" customHeight="1" x14ac:dyDescent="0.35">
      <c r="A8" s="7" t="s">
        <v>1551</v>
      </c>
      <c r="B8" s="7" t="s">
        <v>1552</v>
      </c>
      <c r="C8" s="7" t="s">
        <v>4</v>
      </c>
      <c r="D8" s="7">
        <v>26</v>
      </c>
      <c r="E8" s="7" t="s">
        <v>5</v>
      </c>
      <c r="F8" s="7" t="s">
        <v>1553</v>
      </c>
      <c r="G8" s="7" t="s">
        <v>1554</v>
      </c>
      <c r="H8" s="7">
        <f t="shared" si="0"/>
        <v>1</v>
      </c>
    </row>
    <row r="9" spans="1:8" ht="25" customHeight="1" x14ac:dyDescent="0.35">
      <c r="A9" s="7" t="s">
        <v>1555</v>
      </c>
      <c r="B9" s="7" t="s">
        <v>1556</v>
      </c>
      <c r="C9" s="7" t="s">
        <v>4</v>
      </c>
      <c r="D9" s="7">
        <v>26</v>
      </c>
      <c r="E9" s="7" t="s">
        <v>5</v>
      </c>
      <c r="F9" s="7" t="s">
        <v>1557</v>
      </c>
      <c r="G9" s="7" t="s">
        <v>1558</v>
      </c>
      <c r="H9" s="7">
        <f t="shared" si="0"/>
        <v>1</v>
      </c>
    </row>
    <row r="10" spans="1:8" ht="25" customHeight="1" x14ac:dyDescent="0.35">
      <c r="A10" s="7" t="s">
        <v>1559</v>
      </c>
      <c r="B10" s="7" t="s">
        <v>1560</v>
      </c>
      <c r="C10" s="7" t="s">
        <v>4</v>
      </c>
      <c r="D10" s="7">
        <v>26</v>
      </c>
      <c r="E10" s="7" t="s">
        <v>5</v>
      </c>
      <c r="F10" s="7" t="s">
        <v>1561</v>
      </c>
      <c r="G10" s="7" t="s">
        <v>1562</v>
      </c>
      <c r="H10" s="7">
        <f t="shared" si="0"/>
        <v>1</v>
      </c>
    </row>
    <row r="11" spans="1:8" ht="25" customHeight="1" x14ac:dyDescent="0.35">
      <c r="A11" s="7" t="s">
        <v>1563</v>
      </c>
      <c r="B11" s="7" t="s">
        <v>1564</v>
      </c>
      <c r="C11" s="7" t="s">
        <v>4</v>
      </c>
      <c r="D11" s="7">
        <v>26</v>
      </c>
      <c r="E11" s="7" t="s">
        <v>5</v>
      </c>
      <c r="F11" s="7" t="s">
        <v>1565</v>
      </c>
      <c r="G11" s="7" t="s">
        <v>1566</v>
      </c>
      <c r="H11" s="7">
        <f t="shared" si="0"/>
        <v>1</v>
      </c>
    </row>
    <row r="12" spans="1:8" ht="25" customHeight="1" x14ac:dyDescent="0.35">
      <c r="A12" s="7" t="s">
        <v>1567</v>
      </c>
      <c r="B12" s="7" t="s">
        <v>1568</v>
      </c>
      <c r="C12" s="7" t="s">
        <v>4</v>
      </c>
      <c r="D12" s="7">
        <v>26</v>
      </c>
      <c r="E12" s="7" t="s">
        <v>5</v>
      </c>
      <c r="F12" s="7" t="s">
        <v>1569</v>
      </c>
      <c r="G12" s="7" t="s">
        <v>1570</v>
      </c>
      <c r="H12" s="7">
        <f t="shared" si="0"/>
        <v>1</v>
      </c>
    </row>
    <row r="13" spans="1:8" ht="25" customHeight="1" x14ac:dyDescent="0.35">
      <c r="A13" s="7" t="s">
        <v>1571</v>
      </c>
      <c r="B13" s="7" t="s">
        <v>1572</v>
      </c>
      <c r="C13" s="7" t="s">
        <v>4</v>
      </c>
      <c r="D13" s="7">
        <v>26</v>
      </c>
      <c r="E13" s="7" t="s">
        <v>5</v>
      </c>
      <c r="F13" s="7" t="s">
        <v>1569</v>
      </c>
      <c r="G13" s="7" t="s">
        <v>1570</v>
      </c>
      <c r="H13" s="7">
        <f t="shared" si="0"/>
        <v>1</v>
      </c>
    </row>
    <row r="14" spans="1:8" ht="25" customHeight="1" x14ac:dyDescent="0.35">
      <c r="A14" s="7" t="s">
        <v>1573</v>
      </c>
      <c r="B14" s="7" t="s">
        <v>1574</v>
      </c>
      <c r="C14" s="7" t="s">
        <v>1575</v>
      </c>
      <c r="D14" s="7">
        <v>26</v>
      </c>
      <c r="E14" s="7" t="s">
        <v>5</v>
      </c>
      <c r="F14" s="7" t="s">
        <v>1569</v>
      </c>
      <c r="G14" s="7" t="s">
        <v>1570</v>
      </c>
      <c r="H14" s="7">
        <f t="shared" si="0"/>
        <v>1</v>
      </c>
    </row>
    <row r="15" spans="1:8" ht="25" customHeight="1" x14ac:dyDescent="0.35">
      <c r="A15" s="7" t="s">
        <v>1576</v>
      </c>
      <c r="B15" s="7" t="s">
        <v>1577</v>
      </c>
      <c r="C15" s="7" t="s">
        <v>53</v>
      </c>
      <c r="D15" s="7">
        <v>26</v>
      </c>
      <c r="E15" s="7" t="s">
        <v>5</v>
      </c>
      <c r="F15" s="7" t="s">
        <v>1578</v>
      </c>
      <c r="G15" s="7" t="s">
        <v>1579</v>
      </c>
      <c r="H15" s="7">
        <f t="shared" si="0"/>
        <v>1</v>
      </c>
    </row>
    <row r="16" spans="1:8" ht="25" customHeight="1" x14ac:dyDescent="0.35">
      <c r="A16" s="7" t="s">
        <v>1580</v>
      </c>
      <c r="B16" s="7" t="s">
        <v>1581</v>
      </c>
      <c r="C16" s="7" t="s">
        <v>4</v>
      </c>
      <c r="D16" s="7">
        <v>26</v>
      </c>
      <c r="E16" s="7" t="s">
        <v>5</v>
      </c>
      <c r="F16" s="7" t="s">
        <v>1582</v>
      </c>
      <c r="G16" s="7" t="s">
        <v>1583</v>
      </c>
      <c r="H16" s="7">
        <f t="shared" si="0"/>
        <v>1</v>
      </c>
    </row>
    <row r="17" spans="1:8" ht="25" customHeight="1" x14ac:dyDescent="0.35">
      <c r="A17" s="7" t="s">
        <v>1584</v>
      </c>
      <c r="B17" s="7" t="s">
        <v>1585</v>
      </c>
      <c r="C17" s="7" t="s">
        <v>4</v>
      </c>
      <c r="D17" s="7">
        <v>26</v>
      </c>
      <c r="E17" s="7" t="s">
        <v>5</v>
      </c>
      <c r="F17" s="7" t="s">
        <v>1586</v>
      </c>
      <c r="G17" s="7" t="s">
        <v>1587</v>
      </c>
      <c r="H17" s="7">
        <f t="shared" si="0"/>
        <v>1</v>
      </c>
    </row>
    <row r="18" spans="1:8" ht="25" customHeight="1" x14ac:dyDescent="0.35">
      <c r="A18" s="12" t="s">
        <v>1588</v>
      </c>
      <c r="B18" s="7" t="s">
        <v>1589</v>
      </c>
      <c r="C18" s="7" t="s">
        <v>53</v>
      </c>
      <c r="D18" s="7">
        <v>26</v>
      </c>
      <c r="E18" s="7" t="s">
        <v>5</v>
      </c>
      <c r="F18" s="7" t="s">
        <v>1590</v>
      </c>
      <c r="G18" s="7" t="s">
        <v>1591</v>
      </c>
      <c r="H18" s="7">
        <f t="shared" si="0"/>
        <v>1</v>
      </c>
    </row>
    <row r="19" spans="1:8" ht="25" customHeight="1" x14ac:dyDescent="0.35">
      <c r="A19" s="7" t="s">
        <v>1592</v>
      </c>
      <c r="B19" s="7" t="s">
        <v>1593</v>
      </c>
      <c r="C19" s="7" t="s">
        <v>4</v>
      </c>
      <c r="D19" s="7">
        <v>26</v>
      </c>
      <c r="E19" s="7" t="s">
        <v>5</v>
      </c>
      <c r="F19" s="7" t="s">
        <v>1594</v>
      </c>
      <c r="G19" s="7" t="s">
        <v>1595</v>
      </c>
      <c r="H19" s="7">
        <f t="shared" si="0"/>
        <v>1</v>
      </c>
    </row>
    <row r="20" spans="1:8" ht="25" customHeight="1" x14ac:dyDescent="0.35">
      <c r="A20" s="12" t="s">
        <v>1200</v>
      </c>
      <c r="B20" s="7" t="s">
        <v>1201</v>
      </c>
      <c r="C20" s="7" t="s">
        <v>4</v>
      </c>
      <c r="D20" s="7">
        <v>26</v>
      </c>
      <c r="E20" s="7" t="s">
        <v>5</v>
      </c>
      <c r="F20" s="7" t="s">
        <v>1596</v>
      </c>
      <c r="G20" s="7" t="s">
        <v>1597</v>
      </c>
      <c r="H20" s="7">
        <f t="shared" si="0"/>
        <v>1</v>
      </c>
    </row>
    <row r="21" spans="1:8" ht="25" customHeight="1" x14ac:dyDescent="0.35">
      <c r="A21" s="7" t="s">
        <v>715</v>
      </c>
      <c r="B21" s="7" t="s">
        <v>716</v>
      </c>
      <c r="C21" s="7" t="s">
        <v>4</v>
      </c>
      <c r="D21" s="7">
        <v>26</v>
      </c>
      <c r="E21" s="7" t="s">
        <v>5</v>
      </c>
      <c r="F21" s="7" t="s">
        <v>1598</v>
      </c>
      <c r="G21" s="7" t="s">
        <v>1599</v>
      </c>
      <c r="H21" s="7">
        <f t="shared" si="0"/>
        <v>1</v>
      </c>
    </row>
    <row r="22" spans="1:8" ht="25" customHeight="1" x14ac:dyDescent="0.35">
      <c r="A22" s="7" t="s">
        <v>1600</v>
      </c>
      <c r="B22" s="7" t="s">
        <v>1601</v>
      </c>
      <c r="C22" s="7" t="s">
        <v>4</v>
      </c>
      <c r="D22" s="7">
        <v>26</v>
      </c>
      <c r="E22" s="7" t="s">
        <v>5</v>
      </c>
      <c r="F22" s="7" t="s">
        <v>1602</v>
      </c>
      <c r="G22" s="7" t="s">
        <v>1603</v>
      </c>
      <c r="H22" s="7">
        <f t="shared" si="0"/>
        <v>1</v>
      </c>
    </row>
    <row r="23" spans="1:8" ht="25" customHeight="1" x14ac:dyDescent="0.35">
      <c r="A23" s="7" t="s">
        <v>1604</v>
      </c>
      <c r="B23" s="7" t="s">
        <v>1605</v>
      </c>
      <c r="C23" s="7" t="s">
        <v>4</v>
      </c>
      <c r="D23" s="7">
        <v>26</v>
      </c>
      <c r="E23" s="7" t="s">
        <v>5</v>
      </c>
      <c r="F23" s="7" t="s">
        <v>1606</v>
      </c>
      <c r="G23" s="7" t="s">
        <v>1607</v>
      </c>
      <c r="H23" s="7">
        <f t="shared" si="0"/>
        <v>1</v>
      </c>
    </row>
    <row r="24" spans="1:8" ht="25" customHeight="1" x14ac:dyDescent="0.35">
      <c r="A24" s="7" t="s">
        <v>1608</v>
      </c>
      <c r="B24" s="7" t="s">
        <v>1609</v>
      </c>
      <c r="C24" s="7" t="s">
        <v>4</v>
      </c>
      <c r="D24" s="7">
        <v>26</v>
      </c>
      <c r="E24" s="7" t="s">
        <v>5</v>
      </c>
      <c r="F24" s="7" t="s">
        <v>1610</v>
      </c>
      <c r="G24" s="7" t="s">
        <v>1611</v>
      </c>
      <c r="H24" s="7">
        <f t="shared" si="0"/>
        <v>1</v>
      </c>
    </row>
    <row r="25" spans="1:8" ht="25" customHeight="1" x14ac:dyDescent="0.35">
      <c r="A25" s="7" t="s">
        <v>1612</v>
      </c>
      <c r="B25" s="7" t="s">
        <v>1613</v>
      </c>
      <c r="C25" s="7" t="s">
        <v>4</v>
      </c>
      <c r="D25" s="7">
        <v>26</v>
      </c>
      <c r="E25" s="7" t="s">
        <v>5</v>
      </c>
      <c r="F25" s="7" t="s">
        <v>1614</v>
      </c>
      <c r="G25" s="7" t="s">
        <v>1615</v>
      </c>
      <c r="H25" s="7">
        <f t="shared" si="0"/>
        <v>1</v>
      </c>
    </row>
    <row r="26" spans="1:8" ht="25" customHeight="1" x14ac:dyDescent="0.35">
      <c r="A26" s="7" t="s">
        <v>1616</v>
      </c>
      <c r="B26" s="7" t="s">
        <v>1617</v>
      </c>
      <c r="C26" s="7" t="s">
        <v>4</v>
      </c>
      <c r="D26" s="7">
        <v>26</v>
      </c>
      <c r="E26" s="7" t="s">
        <v>5</v>
      </c>
      <c r="F26" s="7" t="s">
        <v>1614</v>
      </c>
      <c r="G26" s="7" t="s">
        <v>1615</v>
      </c>
      <c r="H26" s="7">
        <f t="shared" si="0"/>
        <v>1</v>
      </c>
    </row>
    <row r="27" spans="1:8" ht="25" customHeight="1" x14ac:dyDescent="0.35">
      <c r="A27" s="7" t="s">
        <v>1618</v>
      </c>
      <c r="B27" s="7" t="s">
        <v>1619</v>
      </c>
      <c r="C27" s="7" t="s">
        <v>4</v>
      </c>
      <c r="D27" s="7">
        <v>26</v>
      </c>
      <c r="E27" s="7" t="s">
        <v>5</v>
      </c>
      <c r="F27" s="7" t="s">
        <v>1620</v>
      </c>
      <c r="G27" s="7" t="s">
        <v>1621</v>
      </c>
      <c r="H27" s="7">
        <f t="shared" si="0"/>
        <v>1</v>
      </c>
    </row>
    <row r="28" spans="1:8" ht="25" customHeight="1" x14ac:dyDescent="0.35">
      <c r="A28" s="7" t="s">
        <v>1622</v>
      </c>
      <c r="B28" s="7" t="s">
        <v>1623</v>
      </c>
      <c r="C28" s="7" t="s">
        <v>4</v>
      </c>
      <c r="D28" s="7">
        <v>26</v>
      </c>
      <c r="E28" s="7" t="s">
        <v>5</v>
      </c>
      <c r="F28" s="7" t="s">
        <v>1624</v>
      </c>
      <c r="G28" s="7" t="s">
        <v>1625</v>
      </c>
      <c r="H28" s="7">
        <f t="shared" si="0"/>
        <v>1</v>
      </c>
    </row>
    <row r="29" spans="1:8" ht="25" customHeight="1" x14ac:dyDescent="0.35">
      <c r="A29" s="7" t="s">
        <v>989</v>
      </c>
      <c r="B29" s="7" t="s">
        <v>990</v>
      </c>
      <c r="C29" s="7" t="s">
        <v>4</v>
      </c>
      <c r="D29" s="7">
        <v>26</v>
      </c>
      <c r="E29" s="7" t="s">
        <v>5</v>
      </c>
      <c r="F29" s="7" t="s">
        <v>1626</v>
      </c>
      <c r="G29" s="7" t="s">
        <v>1627</v>
      </c>
      <c r="H29" s="7">
        <f t="shared" si="0"/>
        <v>1</v>
      </c>
    </row>
    <row r="30" spans="1:8" ht="25" customHeight="1" x14ac:dyDescent="0.35">
      <c r="A30" s="7" t="s">
        <v>1628</v>
      </c>
      <c r="B30" s="7" t="s">
        <v>1629</v>
      </c>
      <c r="C30" s="7" t="s">
        <v>4</v>
      </c>
      <c r="D30" s="7">
        <v>26</v>
      </c>
      <c r="E30" s="7" t="s">
        <v>5</v>
      </c>
      <c r="F30" s="7" t="s">
        <v>1630</v>
      </c>
      <c r="G30" s="7" t="s">
        <v>1631</v>
      </c>
      <c r="H30" s="7">
        <f t="shared" si="0"/>
        <v>1</v>
      </c>
    </row>
    <row r="31" spans="1:8" ht="25" customHeight="1" x14ac:dyDescent="0.35">
      <c r="A31" s="7" t="s">
        <v>1632</v>
      </c>
      <c r="B31" s="7" t="s">
        <v>1633</v>
      </c>
      <c r="C31" s="7" t="s">
        <v>4</v>
      </c>
      <c r="D31" s="7">
        <v>26</v>
      </c>
      <c r="E31" s="7" t="s">
        <v>5</v>
      </c>
      <c r="F31" s="7" t="s">
        <v>1634</v>
      </c>
      <c r="G31" s="7" t="s">
        <v>1635</v>
      </c>
      <c r="H31" s="7">
        <f t="shared" si="0"/>
        <v>1</v>
      </c>
    </row>
    <row r="32" spans="1:8" ht="25" customHeight="1" x14ac:dyDescent="0.35">
      <c r="A32" s="12" t="s">
        <v>1636</v>
      </c>
      <c r="B32" s="7" t="s">
        <v>1637</v>
      </c>
      <c r="C32" s="7" t="s">
        <v>4</v>
      </c>
      <c r="D32" s="7">
        <v>26</v>
      </c>
      <c r="E32" s="7" t="s">
        <v>5</v>
      </c>
      <c r="F32" s="7" t="s">
        <v>1638</v>
      </c>
      <c r="G32" s="7" t="s">
        <v>1639</v>
      </c>
      <c r="H32" s="7">
        <f t="shared" si="0"/>
        <v>1</v>
      </c>
    </row>
    <row r="33" spans="1:8" ht="25" customHeight="1" x14ac:dyDescent="0.35">
      <c r="A33" s="12" t="s">
        <v>831</v>
      </c>
      <c r="B33" s="7" t="s">
        <v>832</v>
      </c>
      <c r="C33" s="7" t="s">
        <v>4</v>
      </c>
      <c r="D33" s="7">
        <v>26</v>
      </c>
      <c r="E33" s="7" t="s">
        <v>5</v>
      </c>
      <c r="F33" s="7" t="s">
        <v>1640</v>
      </c>
      <c r="G33" s="7" t="s">
        <v>1641</v>
      </c>
      <c r="H33" s="7">
        <f t="shared" si="0"/>
        <v>1</v>
      </c>
    </row>
    <row r="34" spans="1:8" ht="25" customHeight="1" x14ac:dyDescent="0.35">
      <c r="A34" s="12" t="s">
        <v>1547</v>
      </c>
      <c r="B34" s="7" t="s">
        <v>1548</v>
      </c>
      <c r="C34" s="7" t="s">
        <v>4</v>
      </c>
      <c r="D34" s="7">
        <v>26</v>
      </c>
      <c r="E34" s="7" t="s">
        <v>5</v>
      </c>
      <c r="F34" s="7" t="s">
        <v>1549</v>
      </c>
      <c r="G34" s="7" t="s">
        <v>1550</v>
      </c>
      <c r="H34" s="7">
        <f t="shared" si="0"/>
        <v>1</v>
      </c>
    </row>
    <row r="35" spans="1:8" ht="25" customHeight="1" x14ac:dyDescent="0.35">
      <c r="A35" s="7" t="s">
        <v>1642</v>
      </c>
      <c r="B35" s="7" t="s">
        <v>1643</v>
      </c>
      <c r="C35" s="7" t="s">
        <v>4</v>
      </c>
      <c r="D35" s="7">
        <v>26</v>
      </c>
      <c r="E35" s="7" t="s">
        <v>5</v>
      </c>
      <c r="F35" s="7" t="s">
        <v>1644</v>
      </c>
      <c r="G35" s="7" t="s">
        <v>1645</v>
      </c>
      <c r="H35" s="7">
        <f t="shared" si="0"/>
        <v>1</v>
      </c>
    </row>
    <row r="36" spans="1:8" ht="25" customHeight="1" x14ac:dyDescent="0.35">
      <c r="A36" s="12" t="s">
        <v>1222</v>
      </c>
      <c r="B36" s="7" t="s">
        <v>1223</v>
      </c>
      <c r="C36" s="7" t="s">
        <v>4</v>
      </c>
      <c r="D36" s="7">
        <v>26</v>
      </c>
      <c r="E36" s="7" t="s">
        <v>5</v>
      </c>
      <c r="F36" s="7" t="s">
        <v>1646</v>
      </c>
      <c r="G36" s="7" t="s">
        <v>1647</v>
      </c>
      <c r="H36" s="7">
        <f t="shared" si="0"/>
        <v>1</v>
      </c>
    </row>
    <row r="37" spans="1:8" ht="25" customHeight="1" x14ac:dyDescent="0.35">
      <c r="A37" s="7" t="s">
        <v>1648</v>
      </c>
      <c r="B37" s="7" t="s">
        <v>1649</v>
      </c>
      <c r="C37" s="7" t="s">
        <v>4</v>
      </c>
      <c r="D37" s="7">
        <v>26</v>
      </c>
      <c r="E37" s="7" t="s">
        <v>5</v>
      </c>
      <c r="F37" s="7" t="s">
        <v>1650</v>
      </c>
      <c r="G37" s="7" t="s">
        <v>1651</v>
      </c>
      <c r="H37" s="7">
        <f t="shared" si="0"/>
        <v>1</v>
      </c>
    </row>
    <row r="38" spans="1:8" ht="25" customHeight="1" x14ac:dyDescent="0.35">
      <c r="A38" s="12" t="s">
        <v>1652</v>
      </c>
      <c r="B38" s="7" t="s">
        <v>1653</v>
      </c>
      <c r="C38" s="7" t="s">
        <v>4</v>
      </c>
      <c r="D38" s="7">
        <v>52</v>
      </c>
      <c r="E38" s="7" t="s">
        <v>5</v>
      </c>
      <c r="F38" s="7" t="s">
        <v>1654</v>
      </c>
      <c r="G38" s="7" t="s">
        <v>1655</v>
      </c>
      <c r="H38" s="7">
        <f t="shared" si="0"/>
        <v>2</v>
      </c>
    </row>
    <row r="39" spans="1:8" ht="25" customHeight="1" x14ac:dyDescent="0.35">
      <c r="A39" s="7" t="s">
        <v>1656</v>
      </c>
      <c r="B39" s="7" t="s">
        <v>1657</v>
      </c>
      <c r="C39" s="7" t="s">
        <v>4</v>
      </c>
      <c r="D39" s="7">
        <v>26</v>
      </c>
      <c r="E39" s="7" t="s">
        <v>5</v>
      </c>
      <c r="F39" s="7" t="s">
        <v>1658</v>
      </c>
      <c r="G39" s="7" t="s">
        <v>1659</v>
      </c>
      <c r="H39" s="7">
        <f t="shared" si="0"/>
        <v>1</v>
      </c>
    </row>
    <row r="40" spans="1:8" ht="25" customHeight="1" x14ac:dyDescent="0.35">
      <c r="A40" s="12" t="s">
        <v>1660</v>
      </c>
      <c r="B40" s="7" t="s">
        <v>1661</v>
      </c>
      <c r="C40" s="7" t="s">
        <v>4</v>
      </c>
      <c r="D40" s="7">
        <v>26</v>
      </c>
      <c r="E40" s="7" t="s">
        <v>5</v>
      </c>
      <c r="F40" s="7" t="s">
        <v>1658</v>
      </c>
      <c r="G40" s="7" t="s">
        <v>1659</v>
      </c>
      <c r="H40" s="7">
        <f t="shared" si="0"/>
        <v>1</v>
      </c>
    </row>
    <row r="41" spans="1:8" ht="25" customHeight="1" x14ac:dyDescent="0.35">
      <c r="A41" s="7" t="s">
        <v>161</v>
      </c>
      <c r="B41" s="7" t="s">
        <v>1662</v>
      </c>
      <c r="C41" s="7" t="s">
        <v>4</v>
      </c>
      <c r="D41" s="7">
        <v>26</v>
      </c>
      <c r="E41" s="7" t="s">
        <v>5</v>
      </c>
      <c r="F41" s="7" t="s">
        <v>1663</v>
      </c>
      <c r="G41" s="7" t="s">
        <v>1664</v>
      </c>
      <c r="H41" s="7">
        <f t="shared" si="0"/>
        <v>1</v>
      </c>
    </row>
    <row r="42" spans="1:8" ht="25" customHeight="1" x14ac:dyDescent="0.35">
      <c r="A42" s="7" t="s">
        <v>1665</v>
      </c>
      <c r="B42" s="7" t="s">
        <v>1666</v>
      </c>
      <c r="C42" s="7" t="s">
        <v>4</v>
      </c>
      <c r="D42" s="7">
        <v>26</v>
      </c>
      <c r="E42" s="7" t="s">
        <v>5</v>
      </c>
      <c r="F42" s="7" t="s">
        <v>1667</v>
      </c>
      <c r="G42" s="7" t="s">
        <v>1668</v>
      </c>
      <c r="H42" s="7">
        <f t="shared" si="0"/>
        <v>1</v>
      </c>
    </row>
    <row r="43" spans="1:8" ht="25" customHeight="1" x14ac:dyDescent="0.35">
      <c r="A43" s="7" t="s">
        <v>1669</v>
      </c>
      <c r="B43" s="7" t="s">
        <v>1670</v>
      </c>
      <c r="C43" s="7" t="s">
        <v>4</v>
      </c>
      <c r="D43" s="7">
        <v>26</v>
      </c>
      <c r="E43" s="7" t="s">
        <v>5</v>
      </c>
      <c r="F43" s="7" t="s">
        <v>623</v>
      </c>
      <c r="G43" s="7" t="s">
        <v>1671</v>
      </c>
      <c r="H43" s="7">
        <f t="shared" si="0"/>
        <v>1</v>
      </c>
    </row>
    <row r="44" spans="1:8" ht="25" customHeight="1" x14ac:dyDescent="0.35">
      <c r="A44" s="7" t="s">
        <v>1672</v>
      </c>
      <c r="B44" s="7" t="s">
        <v>1673</v>
      </c>
      <c r="C44" s="7" t="s">
        <v>4</v>
      </c>
      <c r="D44" s="7">
        <v>26</v>
      </c>
      <c r="E44" s="7" t="s">
        <v>5</v>
      </c>
      <c r="F44" s="7" t="s">
        <v>1674</v>
      </c>
      <c r="G44" s="7" t="s">
        <v>1675</v>
      </c>
      <c r="H44" s="7">
        <f t="shared" si="0"/>
        <v>1</v>
      </c>
    </row>
    <row r="45" spans="1:8" ht="25" customHeight="1" x14ac:dyDescent="0.35">
      <c r="A45" s="7" t="s">
        <v>1676</v>
      </c>
      <c r="B45" s="7" t="s">
        <v>1677</v>
      </c>
      <c r="C45" s="7" t="s">
        <v>4</v>
      </c>
      <c r="D45" s="7">
        <v>26</v>
      </c>
      <c r="E45" s="7" t="s">
        <v>5</v>
      </c>
      <c r="F45" s="7" t="s">
        <v>1557</v>
      </c>
      <c r="G45" s="7" t="s">
        <v>1558</v>
      </c>
      <c r="H45" s="7">
        <f t="shared" si="0"/>
        <v>1</v>
      </c>
    </row>
    <row r="46" spans="1:8" ht="25" customHeight="1" x14ac:dyDescent="0.35">
      <c r="A46" s="7" t="s">
        <v>1678</v>
      </c>
      <c r="B46" s="7" t="s">
        <v>1679</v>
      </c>
      <c r="C46" s="7" t="s">
        <v>4</v>
      </c>
      <c r="D46" s="7">
        <v>26</v>
      </c>
      <c r="E46" s="7" t="s">
        <v>5</v>
      </c>
      <c r="F46" s="7" t="s">
        <v>1557</v>
      </c>
      <c r="G46" s="7" t="s">
        <v>1558</v>
      </c>
      <c r="H46" s="7">
        <f t="shared" si="0"/>
        <v>1</v>
      </c>
    </row>
    <row r="47" spans="1:8" ht="25" customHeight="1" x14ac:dyDescent="0.35">
      <c r="A47" s="7" t="s">
        <v>715</v>
      </c>
      <c r="B47" s="7" t="s">
        <v>716</v>
      </c>
      <c r="C47" s="7" t="s">
        <v>4</v>
      </c>
      <c r="D47" s="7">
        <v>26</v>
      </c>
      <c r="E47" s="7" t="s">
        <v>5</v>
      </c>
      <c r="F47" s="7" t="s">
        <v>1598</v>
      </c>
      <c r="G47" s="7" t="s">
        <v>1599</v>
      </c>
      <c r="H47" s="7">
        <f t="shared" si="0"/>
        <v>1</v>
      </c>
    </row>
    <row r="48" spans="1:8" ht="25" customHeight="1" x14ac:dyDescent="0.35">
      <c r="A48" s="7" t="s">
        <v>1210</v>
      </c>
      <c r="B48" s="7" t="s">
        <v>1211</v>
      </c>
      <c r="C48" s="7" t="s">
        <v>4</v>
      </c>
      <c r="D48" s="7">
        <v>52</v>
      </c>
      <c r="E48" s="7" t="s">
        <v>5</v>
      </c>
      <c r="F48" s="7" t="s">
        <v>1680</v>
      </c>
      <c r="G48" s="7" t="s">
        <v>1681</v>
      </c>
      <c r="H48" s="7">
        <f t="shared" si="0"/>
        <v>2</v>
      </c>
    </row>
    <row r="49" spans="1:8" ht="25" customHeight="1" x14ac:dyDescent="0.35">
      <c r="A49" s="7" t="s">
        <v>1214</v>
      </c>
      <c r="B49" s="7" t="s">
        <v>1215</v>
      </c>
      <c r="C49" s="7" t="s">
        <v>4</v>
      </c>
      <c r="D49" s="7">
        <v>52</v>
      </c>
      <c r="E49" s="7" t="s">
        <v>5</v>
      </c>
      <c r="F49" s="7" t="s">
        <v>1682</v>
      </c>
      <c r="G49" s="7" t="s">
        <v>1683</v>
      </c>
      <c r="H49" s="7">
        <f t="shared" si="0"/>
        <v>2</v>
      </c>
    </row>
    <row r="50" spans="1:8" ht="25" customHeight="1" x14ac:dyDescent="0.35">
      <c r="A50" s="7" t="s">
        <v>1684</v>
      </c>
      <c r="B50" s="7" t="s">
        <v>1685</v>
      </c>
      <c r="C50" s="7" t="s">
        <v>53</v>
      </c>
      <c r="D50" s="7">
        <v>26</v>
      </c>
      <c r="E50" s="7" t="s">
        <v>5</v>
      </c>
      <c r="F50" s="7" t="s">
        <v>1686</v>
      </c>
      <c r="G50" s="7" t="s">
        <v>1687</v>
      </c>
      <c r="H50" s="7">
        <f t="shared" si="0"/>
        <v>1</v>
      </c>
    </row>
    <row r="51" spans="1:8" ht="25" customHeight="1" x14ac:dyDescent="0.35">
      <c r="A51" s="7" t="s">
        <v>1688</v>
      </c>
      <c r="B51" s="7" t="s">
        <v>1689</v>
      </c>
      <c r="C51" s="7" t="s">
        <v>53</v>
      </c>
      <c r="D51" s="7">
        <v>26</v>
      </c>
      <c r="E51" s="7" t="s">
        <v>5</v>
      </c>
      <c r="F51" s="7" t="s">
        <v>1690</v>
      </c>
      <c r="G51" s="7" t="s">
        <v>1691</v>
      </c>
      <c r="H51" s="7">
        <f t="shared" si="0"/>
        <v>1</v>
      </c>
    </row>
    <row r="52" spans="1:8" ht="25" customHeight="1" x14ac:dyDescent="0.35">
      <c r="A52" s="7" t="s">
        <v>1692</v>
      </c>
      <c r="B52" s="7" t="s">
        <v>1693</v>
      </c>
      <c r="C52" s="7" t="s">
        <v>4</v>
      </c>
      <c r="D52" s="7">
        <v>26</v>
      </c>
      <c r="E52" s="7" t="s">
        <v>5</v>
      </c>
      <c r="F52" s="7" t="s">
        <v>1694</v>
      </c>
      <c r="G52" s="7" t="s">
        <v>1695</v>
      </c>
      <c r="H52" s="7">
        <f t="shared" si="0"/>
        <v>1</v>
      </c>
    </row>
    <row r="53" spans="1:8" ht="25" customHeight="1" x14ac:dyDescent="0.35">
      <c r="A53" s="12" t="s">
        <v>1696</v>
      </c>
      <c r="B53" s="7" t="s">
        <v>1697</v>
      </c>
      <c r="C53" s="7" t="s">
        <v>53</v>
      </c>
      <c r="D53" s="7">
        <v>26</v>
      </c>
      <c r="E53" s="7" t="s">
        <v>5</v>
      </c>
      <c r="F53" s="7" t="s">
        <v>1698</v>
      </c>
      <c r="G53" s="7" t="s">
        <v>1699</v>
      </c>
      <c r="H53" s="7">
        <f t="shared" si="0"/>
        <v>1</v>
      </c>
    </row>
    <row r="54" spans="1:8" ht="25" customHeight="1" x14ac:dyDescent="0.35">
      <c r="A54" s="7" t="s">
        <v>1700</v>
      </c>
      <c r="B54" s="7" t="s">
        <v>1701</v>
      </c>
      <c r="C54" s="7" t="s">
        <v>4</v>
      </c>
      <c r="D54" s="7">
        <v>26</v>
      </c>
      <c r="E54" s="7" t="s">
        <v>5</v>
      </c>
      <c r="F54" s="7" t="s">
        <v>50</v>
      </c>
      <c r="G54" s="7" t="s">
        <v>1702</v>
      </c>
      <c r="H54" s="7">
        <f t="shared" si="0"/>
        <v>1</v>
      </c>
    </row>
    <row r="55" spans="1:8" ht="25" customHeight="1" x14ac:dyDescent="0.35">
      <c r="A55" s="7" t="s">
        <v>1417</v>
      </c>
      <c r="B55" s="7" t="s">
        <v>1418</v>
      </c>
      <c r="C55" s="7" t="s">
        <v>4</v>
      </c>
      <c r="D55" s="7">
        <v>26</v>
      </c>
      <c r="E55" s="7" t="s">
        <v>5</v>
      </c>
      <c r="F55" s="7" t="s">
        <v>1703</v>
      </c>
      <c r="G55" s="7" t="s">
        <v>1704</v>
      </c>
      <c r="H55" s="7">
        <f t="shared" si="0"/>
        <v>1</v>
      </c>
    </row>
    <row r="56" spans="1:8" ht="25" customHeight="1" x14ac:dyDescent="0.35">
      <c r="A56" s="7" t="s">
        <v>1705</v>
      </c>
      <c r="B56" s="7" t="s">
        <v>1706</v>
      </c>
      <c r="C56" s="7" t="s">
        <v>4</v>
      </c>
      <c r="D56" s="7">
        <v>26</v>
      </c>
      <c r="E56" s="7" t="s">
        <v>5</v>
      </c>
      <c r="F56" s="7" t="s">
        <v>1707</v>
      </c>
      <c r="G56" s="7" t="s">
        <v>1708</v>
      </c>
      <c r="H56" s="7">
        <f t="shared" si="0"/>
        <v>1</v>
      </c>
    </row>
    <row r="57" spans="1:8" ht="25" customHeight="1" x14ac:dyDescent="0.35">
      <c r="A57" s="7" t="s">
        <v>1709</v>
      </c>
      <c r="B57" s="7" t="s">
        <v>1710</v>
      </c>
      <c r="C57" s="7" t="s">
        <v>4</v>
      </c>
      <c r="D57" s="7">
        <v>26</v>
      </c>
      <c r="E57" s="7" t="s">
        <v>5</v>
      </c>
      <c r="F57" s="7" t="s">
        <v>1711</v>
      </c>
      <c r="G57" s="7" t="s">
        <v>1712</v>
      </c>
      <c r="H57" s="7">
        <f t="shared" si="0"/>
        <v>1</v>
      </c>
    </row>
    <row r="58" spans="1:8" ht="25" customHeight="1" x14ac:dyDescent="0.35">
      <c r="A58" s="7" t="s">
        <v>1188</v>
      </c>
      <c r="B58" s="7" t="s">
        <v>1189</v>
      </c>
      <c r="C58" s="7" t="s">
        <v>53</v>
      </c>
      <c r="D58" s="7">
        <v>26</v>
      </c>
      <c r="E58" s="7" t="s">
        <v>5</v>
      </c>
      <c r="F58" s="7" t="s">
        <v>1713</v>
      </c>
      <c r="G58" s="7" t="s">
        <v>1714</v>
      </c>
      <c r="H58" s="7">
        <f t="shared" si="0"/>
        <v>1</v>
      </c>
    </row>
    <row r="59" spans="1:8" ht="25" customHeight="1" x14ac:dyDescent="0.35">
      <c r="A59" s="7" t="s">
        <v>778</v>
      </c>
      <c r="B59" s="7" t="s">
        <v>779</v>
      </c>
      <c r="C59" s="7" t="s">
        <v>53</v>
      </c>
      <c r="D59" s="7">
        <v>26</v>
      </c>
      <c r="E59" s="7" t="s">
        <v>5</v>
      </c>
      <c r="F59" s="7" t="s">
        <v>1715</v>
      </c>
      <c r="G59" s="7" t="s">
        <v>1716</v>
      </c>
      <c r="H59" s="7">
        <f t="shared" si="0"/>
        <v>1</v>
      </c>
    </row>
    <row r="60" spans="1:8" ht="25" customHeight="1" x14ac:dyDescent="0.35">
      <c r="A60" s="7" t="s">
        <v>1717</v>
      </c>
      <c r="B60" s="7" t="s">
        <v>1718</v>
      </c>
      <c r="C60" s="7" t="s">
        <v>4</v>
      </c>
      <c r="D60" s="7">
        <v>52</v>
      </c>
      <c r="E60" s="7" t="s">
        <v>5</v>
      </c>
      <c r="F60" s="7" t="s">
        <v>509</v>
      </c>
      <c r="G60" s="7" t="s">
        <v>1719</v>
      </c>
      <c r="H60" s="7">
        <f t="shared" si="0"/>
        <v>2</v>
      </c>
    </row>
    <row r="61" spans="1:8" ht="25" customHeight="1" x14ac:dyDescent="0.35">
      <c r="A61" s="7" t="s">
        <v>1720</v>
      </c>
      <c r="B61" s="7" t="s">
        <v>1721</v>
      </c>
      <c r="C61" s="7" t="s">
        <v>53</v>
      </c>
      <c r="D61" s="7">
        <v>26</v>
      </c>
      <c r="E61" s="7" t="s">
        <v>5</v>
      </c>
      <c r="F61" s="7" t="s">
        <v>1545</v>
      </c>
      <c r="G61" s="7" t="s">
        <v>1546</v>
      </c>
      <c r="H61" s="7">
        <f t="shared" si="0"/>
        <v>1</v>
      </c>
    </row>
    <row r="62" spans="1:8" ht="25" customHeight="1" x14ac:dyDescent="0.35">
      <c r="A62" s="7" t="s">
        <v>428</v>
      </c>
      <c r="B62" s="7" t="s">
        <v>429</v>
      </c>
      <c r="C62" s="7" t="s">
        <v>53</v>
      </c>
      <c r="D62" s="7">
        <v>26</v>
      </c>
      <c r="E62" s="7" t="s">
        <v>5</v>
      </c>
      <c r="F62" s="7" t="s">
        <v>1722</v>
      </c>
      <c r="G62" s="7" t="s">
        <v>1723</v>
      </c>
      <c r="H62" s="7">
        <f t="shared" si="0"/>
        <v>1</v>
      </c>
    </row>
    <row r="63" spans="1:8" ht="25" customHeight="1" x14ac:dyDescent="0.35">
      <c r="A63" s="7" t="s">
        <v>1724</v>
      </c>
      <c r="B63" s="7" t="s">
        <v>1725</v>
      </c>
      <c r="C63" s="7" t="s">
        <v>53</v>
      </c>
      <c r="D63" s="7">
        <v>26</v>
      </c>
      <c r="E63" s="7" t="s">
        <v>5</v>
      </c>
      <c r="F63" s="7" t="s">
        <v>1726</v>
      </c>
      <c r="G63" s="7" t="s">
        <v>1727</v>
      </c>
      <c r="H63" s="7">
        <f t="shared" si="0"/>
        <v>1</v>
      </c>
    </row>
    <row r="64" spans="1:8" ht="25" customHeight="1" x14ac:dyDescent="0.35">
      <c r="A64" s="7" t="s">
        <v>1728</v>
      </c>
      <c r="B64" s="7" t="s">
        <v>1729</v>
      </c>
      <c r="C64" s="7" t="s">
        <v>4</v>
      </c>
      <c r="D64" s="7">
        <v>26</v>
      </c>
      <c r="E64" s="7" t="s">
        <v>5</v>
      </c>
      <c r="F64" s="7" t="s">
        <v>1730</v>
      </c>
      <c r="G64" s="7" t="s">
        <v>1731</v>
      </c>
      <c r="H64" s="7">
        <f t="shared" si="0"/>
        <v>1</v>
      </c>
    </row>
    <row r="65" spans="1:8" ht="25" customHeight="1" x14ac:dyDescent="0.35">
      <c r="A65" s="12" t="s">
        <v>1580</v>
      </c>
      <c r="B65" s="7" t="s">
        <v>1581</v>
      </c>
      <c r="C65" s="7" t="s">
        <v>4</v>
      </c>
      <c r="D65" s="7">
        <v>26</v>
      </c>
      <c r="E65" s="7" t="s">
        <v>5</v>
      </c>
      <c r="F65" s="7" t="s">
        <v>1582</v>
      </c>
      <c r="G65" s="7" t="s">
        <v>1583</v>
      </c>
      <c r="H65" s="7">
        <f t="shared" si="0"/>
        <v>1</v>
      </c>
    </row>
    <row r="66" spans="1:8" ht="25" customHeight="1" x14ac:dyDescent="0.35">
      <c r="A66" s="7" t="s">
        <v>1273</v>
      </c>
      <c r="B66" s="7" t="s">
        <v>1274</v>
      </c>
      <c r="C66" s="7" t="s">
        <v>4</v>
      </c>
      <c r="D66" s="7">
        <v>26</v>
      </c>
      <c r="E66" s="7" t="s">
        <v>5</v>
      </c>
      <c r="F66" s="7" t="s">
        <v>1732</v>
      </c>
      <c r="G66" s="7" t="s">
        <v>1733</v>
      </c>
      <c r="H66" s="7">
        <f t="shared" si="0"/>
        <v>1</v>
      </c>
    </row>
    <row r="67" spans="1:8" ht="25" customHeight="1" x14ac:dyDescent="0.35">
      <c r="A67" s="7" t="s">
        <v>558</v>
      </c>
      <c r="B67" s="7" t="s">
        <v>559</v>
      </c>
      <c r="C67" s="7" t="s">
        <v>53</v>
      </c>
      <c r="D67" s="7">
        <v>26</v>
      </c>
      <c r="E67" s="7" t="s">
        <v>5</v>
      </c>
      <c r="F67" s="7" t="s">
        <v>1734</v>
      </c>
      <c r="G67" s="7" t="s">
        <v>1735</v>
      </c>
      <c r="H67" s="7">
        <f t="shared" ref="H67:H68" si="1">D67/26</f>
        <v>1</v>
      </c>
    </row>
    <row r="68" spans="1:8" ht="25" customHeight="1" x14ac:dyDescent="0.35">
      <c r="A68" s="7" t="s">
        <v>715</v>
      </c>
      <c r="B68" s="7" t="s">
        <v>716</v>
      </c>
      <c r="C68" s="7" t="s">
        <v>4</v>
      </c>
      <c r="D68" s="7">
        <v>26</v>
      </c>
      <c r="E68" s="7" t="s">
        <v>5</v>
      </c>
      <c r="F68" s="7" t="s">
        <v>1598</v>
      </c>
      <c r="G68" s="7" t="s">
        <v>1599</v>
      </c>
      <c r="H68" s="7">
        <f t="shared" si="1"/>
        <v>1</v>
      </c>
    </row>
    <row r="69" spans="1:8" x14ac:dyDescent="0.35">
      <c r="G69" s="2" t="s">
        <v>3496</v>
      </c>
      <c r="H69" s="2">
        <f>SUM(H2:H68)</f>
        <v>71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>
    <oddFooter>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FFF9-C51D-46BB-8F69-F8B1C6C4C6C4}">
  <dimension ref="A1:H67"/>
  <sheetViews>
    <sheetView tabSelected="1" view="pageBreakPreview" topLeftCell="A4" zoomScale="85" zoomScaleNormal="85" zoomScaleSheetLayoutView="85" workbookViewId="0">
      <selection activeCell="B11" sqref="B11"/>
    </sheetView>
  </sheetViews>
  <sheetFormatPr defaultColWidth="36.54296875" defaultRowHeight="16" x14ac:dyDescent="0.35"/>
  <cols>
    <col min="1" max="1" width="15.08984375" style="1" customWidth="1"/>
    <col min="2" max="2" width="44.26953125" style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12.54296875" style="1" bestFit="1" customWidth="1"/>
    <col min="8" max="8" width="7.906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1736</v>
      </c>
      <c r="C1" s="6" t="s">
        <v>3480</v>
      </c>
      <c r="D1" s="5" t="s">
        <v>3488</v>
      </c>
      <c r="E1" s="6" t="s">
        <v>3484</v>
      </c>
      <c r="F1" s="6" t="s">
        <v>3481</v>
      </c>
      <c r="G1" s="6" t="s">
        <v>3482</v>
      </c>
      <c r="H1" s="6" t="s">
        <v>3495</v>
      </c>
    </row>
    <row r="2" spans="1:8" ht="25" customHeight="1" x14ac:dyDescent="0.35">
      <c r="A2" s="7" t="s">
        <v>1108</v>
      </c>
      <c r="B2" s="7" t="s">
        <v>1109</v>
      </c>
      <c r="C2" s="7" t="s">
        <v>4</v>
      </c>
      <c r="D2" s="7">
        <v>68</v>
      </c>
      <c r="E2" s="7" t="s">
        <v>5</v>
      </c>
      <c r="F2" s="7" t="s">
        <v>1737</v>
      </c>
      <c r="G2" s="7" t="s">
        <v>1738</v>
      </c>
      <c r="H2" s="7">
        <f>D2/34</f>
        <v>2</v>
      </c>
    </row>
    <row r="3" spans="1:8" ht="25" customHeight="1" x14ac:dyDescent="0.35">
      <c r="A3" s="7" t="s">
        <v>1739</v>
      </c>
      <c r="B3" s="7" t="s">
        <v>1740</v>
      </c>
      <c r="C3" s="7" t="s">
        <v>4</v>
      </c>
      <c r="D3" s="7">
        <v>34</v>
      </c>
      <c r="E3" s="7" t="s">
        <v>5</v>
      </c>
      <c r="F3" s="7" t="s">
        <v>1741</v>
      </c>
      <c r="G3" s="7" t="s">
        <v>1742</v>
      </c>
      <c r="H3" s="7">
        <f t="shared" ref="H3:H66" si="0">D3/34</f>
        <v>1</v>
      </c>
    </row>
    <row r="4" spans="1:8" ht="25" customHeight="1" x14ac:dyDescent="0.35">
      <c r="A4" s="7" t="s">
        <v>1743</v>
      </c>
      <c r="B4" s="7" t="s">
        <v>1744</v>
      </c>
      <c r="C4" s="7" t="s">
        <v>4</v>
      </c>
      <c r="D4" s="7">
        <v>34</v>
      </c>
      <c r="E4" s="7" t="s">
        <v>5</v>
      </c>
      <c r="F4" s="7" t="s">
        <v>1741</v>
      </c>
      <c r="G4" s="7" t="s">
        <v>1742</v>
      </c>
      <c r="H4" s="7">
        <f t="shared" si="0"/>
        <v>1</v>
      </c>
    </row>
    <row r="5" spans="1:8" ht="25" customHeight="1" x14ac:dyDescent="0.35">
      <c r="A5" s="7" t="s">
        <v>1745</v>
      </c>
      <c r="B5" s="7" t="s">
        <v>1746</v>
      </c>
      <c r="C5" s="7" t="s">
        <v>1575</v>
      </c>
      <c r="D5" s="7">
        <v>34</v>
      </c>
      <c r="E5" s="7" t="s">
        <v>5</v>
      </c>
      <c r="F5" s="7" t="s">
        <v>1747</v>
      </c>
      <c r="G5" s="7" t="s">
        <v>1748</v>
      </c>
      <c r="H5" s="7">
        <f t="shared" si="0"/>
        <v>1</v>
      </c>
    </row>
    <row r="6" spans="1:8" ht="25" customHeight="1" x14ac:dyDescent="0.35">
      <c r="A6" s="7" t="s">
        <v>1567</v>
      </c>
      <c r="B6" s="7" t="s">
        <v>1568</v>
      </c>
      <c r="C6" s="7" t="s">
        <v>4</v>
      </c>
      <c r="D6" s="7">
        <v>34</v>
      </c>
      <c r="E6" s="7" t="s">
        <v>5</v>
      </c>
      <c r="F6" s="7" t="s">
        <v>1747</v>
      </c>
      <c r="G6" s="7" t="s">
        <v>1748</v>
      </c>
      <c r="H6" s="7">
        <f t="shared" si="0"/>
        <v>1</v>
      </c>
    </row>
    <row r="7" spans="1:8" ht="25" customHeight="1" x14ac:dyDescent="0.35">
      <c r="A7" s="7" t="s">
        <v>1571</v>
      </c>
      <c r="B7" s="7" t="s">
        <v>1572</v>
      </c>
      <c r="C7" s="7" t="s">
        <v>4</v>
      </c>
      <c r="D7" s="7">
        <v>34</v>
      </c>
      <c r="E7" s="7" t="s">
        <v>5</v>
      </c>
      <c r="F7" s="7" t="s">
        <v>1747</v>
      </c>
      <c r="G7" s="7" t="s">
        <v>1748</v>
      </c>
      <c r="H7" s="7">
        <f t="shared" si="0"/>
        <v>1</v>
      </c>
    </row>
    <row r="8" spans="1:8" ht="25" customHeight="1" x14ac:dyDescent="0.35">
      <c r="A8" s="7" t="s">
        <v>1749</v>
      </c>
      <c r="B8" s="7" t="s">
        <v>1750</v>
      </c>
      <c r="C8" s="7" t="s">
        <v>4</v>
      </c>
      <c r="D8" s="7">
        <v>34</v>
      </c>
      <c r="E8" s="7" t="s">
        <v>5</v>
      </c>
      <c r="F8" s="7" t="s">
        <v>1747</v>
      </c>
      <c r="G8" s="7" t="s">
        <v>1748</v>
      </c>
      <c r="H8" s="7">
        <f t="shared" si="0"/>
        <v>1</v>
      </c>
    </row>
    <row r="9" spans="1:8" ht="25" customHeight="1" x14ac:dyDescent="0.35">
      <c r="A9" s="7" t="s">
        <v>1751</v>
      </c>
      <c r="B9" s="7" t="s">
        <v>1752</v>
      </c>
      <c r="C9" s="7" t="s">
        <v>4</v>
      </c>
      <c r="D9" s="7">
        <v>68</v>
      </c>
      <c r="E9" s="7" t="s">
        <v>5</v>
      </c>
      <c r="F9" s="7" t="s">
        <v>1753</v>
      </c>
      <c r="G9" s="7" t="s">
        <v>1754</v>
      </c>
      <c r="H9" s="7">
        <f t="shared" si="0"/>
        <v>2</v>
      </c>
    </row>
    <row r="10" spans="1:8" ht="25" customHeight="1" x14ac:dyDescent="0.35">
      <c r="A10" s="7" t="s">
        <v>1751</v>
      </c>
      <c r="B10" s="7" t="s">
        <v>1752</v>
      </c>
      <c r="C10" s="7" t="s">
        <v>4</v>
      </c>
      <c r="D10" s="7">
        <v>68</v>
      </c>
      <c r="E10" s="7" t="s">
        <v>5</v>
      </c>
      <c r="F10" s="7" t="s">
        <v>1753</v>
      </c>
      <c r="G10" s="7" t="s">
        <v>1754</v>
      </c>
      <c r="H10" s="7">
        <f t="shared" si="0"/>
        <v>2</v>
      </c>
    </row>
    <row r="11" spans="1:8" ht="25" customHeight="1" x14ac:dyDescent="0.35">
      <c r="A11" s="7" t="s">
        <v>1755</v>
      </c>
      <c r="B11" s="7" t="s">
        <v>1756</v>
      </c>
      <c r="C11" s="7" t="s">
        <v>4</v>
      </c>
      <c r="D11" s="7">
        <v>34</v>
      </c>
      <c r="E11" s="7" t="s">
        <v>5</v>
      </c>
      <c r="F11" s="7" t="s">
        <v>1757</v>
      </c>
      <c r="G11" s="7" t="s">
        <v>1758</v>
      </c>
      <c r="H11" s="7">
        <f t="shared" si="0"/>
        <v>1</v>
      </c>
    </row>
    <row r="12" spans="1:8" ht="25" customHeight="1" x14ac:dyDescent="0.35">
      <c r="A12" s="7" t="s">
        <v>1759</v>
      </c>
      <c r="B12" s="7" t="s">
        <v>1760</v>
      </c>
      <c r="C12" s="7" t="s">
        <v>4</v>
      </c>
      <c r="D12" s="7">
        <v>34</v>
      </c>
      <c r="E12" s="7" t="s">
        <v>5</v>
      </c>
      <c r="F12" s="7" t="s">
        <v>1757</v>
      </c>
      <c r="G12" s="7" t="s">
        <v>1758</v>
      </c>
      <c r="H12" s="7">
        <f t="shared" si="0"/>
        <v>1</v>
      </c>
    </row>
    <row r="13" spans="1:8" ht="25" customHeight="1" x14ac:dyDescent="0.35">
      <c r="A13" s="7" t="s">
        <v>1636</v>
      </c>
      <c r="B13" s="7" t="s">
        <v>1637</v>
      </c>
      <c r="C13" s="7" t="s">
        <v>4</v>
      </c>
      <c r="D13" s="7">
        <v>34</v>
      </c>
      <c r="E13" s="7" t="s">
        <v>5</v>
      </c>
      <c r="F13" s="7" t="s">
        <v>1761</v>
      </c>
      <c r="G13" s="7" t="s">
        <v>1762</v>
      </c>
      <c r="H13" s="7">
        <f t="shared" si="0"/>
        <v>1</v>
      </c>
    </row>
    <row r="14" spans="1:8" ht="25" customHeight="1" x14ac:dyDescent="0.35">
      <c r="A14" s="7" t="s">
        <v>1763</v>
      </c>
      <c r="B14" s="7" t="s">
        <v>1764</v>
      </c>
      <c r="C14" s="7" t="s">
        <v>4</v>
      </c>
      <c r="D14" s="7">
        <v>34</v>
      </c>
      <c r="E14" s="7" t="s">
        <v>5</v>
      </c>
      <c r="F14" s="7" t="s">
        <v>1765</v>
      </c>
      <c r="G14" s="7" t="s">
        <v>1766</v>
      </c>
      <c r="H14" s="7">
        <f t="shared" si="0"/>
        <v>1</v>
      </c>
    </row>
    <row r="15" spans="1:8" ht="25" customHeight="1" x14ac:dyDescent="0.35">
      <c r="A15" s="7" t="s">
        <v>1767</v>
      </c>
      <c r="B15" s="7" t="s">
        <v>1768</v>
      </c>
      <c r="C15" s="7" t="s">
        <v>4</v>
      </c>
      <c r="D15" s="7">
        <v>34</v>
      </c>
      <c r="E15" s="7" t="s">
        <v>5</v>
      </c>
      <c r="F15" s="7" t="s">
        <v>1765</v>
      </c>
      <c r="G15" s="7" t="s">
        <v>1766</v>
      </c>
      <c r="H15" s="7">
        <f t="shared" si="0"/>
        <v>1</v>
      </c>
    </row>
    <row r="16" spans="1:8" ht="25" customHeight="1" x14ac:dyDescent="0.35">
      <c r="A16" s="7" t="s">
        <v>1769</v>
      </c>
      <c r="B16" s="7" t="s">
        <v>1770</v>
      </c>
      <c r="C16" s="7" t="s">
        <v>4</v>
      </c>
      <c r="D16" s="7">
        <v>34</v>
      </c>
      <c r="E16" s="7" t="s">
        <v>5</v>
      </c>
      <c r="F16" s="7" t="s">
        <v>1771</v>
      </c>
      <c r="G16" s="7" t="s">
        <v>1772</v>
      </c>
      <c r="H16" s="7">
        <f t="shared" si="0"/>
        <v>1</v>
      </c>
    </row>
    <row r="17" spans="1:8" ht="25" customHeight="1" x14ac:dyDescent="0.35">
      <c r="A17" s="7" t="s">
        <v>1773</v>
      </c>
      <c r="B17" s="7" t="s">
        <v>1774</v>
      </c>
      <c r="C17" s="7" t="s">
        <v>4</v>
      </c>
      <c r="D17" s="7">
        <v>34</v>
      </c>
      <c r="E17" s="7" t="s">
        <v>5</v>
      </c>
      <c r="F17" s="7" t="s">
        <v>1757</v>
      </c>
      <c r="G17" s="7" t="s">
        <v>1758</v>
      </c>
      <c r="H17" s="7">
        <f t="shared" si="0"/>
        <v>1</v>
      </c>
    </row>
    <row r="18" spans="1:8" ht="25" customHeight="1" x14ac:dyDescent="0.35">
      <c r="A18" s="7" t="s">
        <v>1775</v>
      </c>
      <c r="B18" s="7" t="s">
        <v>1776</v>
      </c>
      <c r="C18" s="7" t="s">
        <v>4</v>
      </c>
      <c r="D18" s="7">
        <v>34</v>
      </c>
      <c r="E18" s="7" t="s">
        <v>5</v>
      </c>
      <c r="F18" s="7" t="s">
        <v>1777</v>
      </c>
      <c r="G18" s="7" t="s">
        <v>1778</v>
      </c>
      <c r="H18" s="7">
        <f t="shared" si="0"/>
        <v>1</v>
      </c>
    </row>
    <row r="19" spans="1:8" ht="25" customHeight="1" x14ac:dyDescent="0.35">
      <c r="A19" s="7" t="s">
        <v>1779</v>
      </c>
      <c r="B19" s="7" t="s">
        <v>1780</v>
      </c>
      <c r="C19" s="7" t="s">
        <v>4</v>
      </c>
      <c r="D19" s="7">
        <v>34</v>
      </c>
      <c r="E19" s="7" t="s">
        <v>5</v>
      </c>
      <c r="F19" s="7" t="s">
        <v>1781</v>
      </c>
      <c r="G19" s="7" t="s">
        <v>1782</v>
      </c>
      <c r="H19" s="7">
        <f t="shared" si="0"/>
        <v>1</v>
      </c>
    </row>
    <row r="20" spans="1:8" ht="25" customHeight="1" x14ac:dyDescent="0.35">
      <c r="A20" s="7" t="s">
        <v>1783</v>
      </c>
      <c r="B20" s="7" t="s">
        <v>1784</v>
      </c>
      <c r="C20" s="7" t="s">
        <v>4</v>
      </c>
      <c r="D20" s="7">
        <v>34</v>
      </c>
      <c r="E20" s="7" t="s">
        <v>5</v>
      </c>
      <c r="F20" s="7" t="s">
        <v>1785</v>
      </c>
      <c r="G20" s="7" t="s">
        <v>1786</v>
      </c>
      <c r="H20" s="7">
        <f t="shared" si="0"/>
        <v>1</v>
      </c>
    </row>
    <row r="21" spans="1:8" ht="25" customHeight="1" x14ac:dyDescent="0.35">
      <c r="A21" s="7" t="s">
        <v>1787</v>
      </c>
      <c r="B21" s="7" t="s">
        <v>1788</v>
      </c>
      <c r="C21" s="7" t="s">
        <v>4</v>
      </c>
      <c r="D21" s="7">
        <v>34</v>
      </c>
      <c r="E21" s="7" t="s">
        <v>5</v>
      </c>
      <c r="F21" s="7" t="s">
        <v>1785</v>
      </c>
      <c r="G21" s="7" t="s">
        <v>1786</v>
      </c>
      <c r="H21" s="7">
        <f t="shared" si="0"/>
        <v>1</v>
      </c>
    </row>
    <row r="22" spans="1:8" ht="25" customHeight="1" x14ac:dyDescent="0.35">
      <c r="A22" s="7" t="s">
        <v>1789</v>
      </c>
      <c r="B22" s="7" t="s">
        <v>1790</v>
      </c>
      <c r="C22" s="7" t="s">
        <v>4</v>
      </c>
      <c r="D22" s="7">
        <v>34</v>
      </c>
      <c r="E22" s="7" t="s">
        <v>5</v>
      </c>
      <c r="F22" s="7" t="s">
        <v>1785</v>
      </c>
      <c r="G22" s="7" t="s">
        <v>1786</v>
      </c>
      <c r="H22" s="7">
        <f t="shared" si="0"/>
        <v>1</v>
      </c>
    </row>
    <row r="23" spans="1:8" ht="25" customHeight="1" x14ac:dyDescent="0.35">
      <c r="A23" s="7" t="s">
        <v>1791</v>
      </c>
      <c r="B23" s="7" t="s">
        <v>1792</v>
      </c>
      <c r="C23" s="7" t="s">
        <v>4</v>
      </c>
      <c r="D23" s="7">
        <v>68</v>
      </c>
      <c r="E23" s="7" t="s">
        <v>5</v>
      </c>
      <c r="F23" s="7" t="s">
        <v>1793</v>
      </c>
      <c r="G23" s="7" t="s">
        <v>1794</v>
      </c>
      <c r="H23" s="7">
        <f t="shared" si="0"/>
        <v>2</v>
      </c>
    </row>
    <row r="24" spans="1:8" ht="25" customHeight="1" x14ac:dyDescent="0.35">
      <c r="A24" s="7" t="s">
        <v>1795</v>
      </c>
      <c r="B24" s="7" t="s">
        <v>1796</v>
      </c>
      <c r="C24" s="7" t="s">
        <v>4</v>
      </c>
      <c r="D24" s="7">
        <v>68</v>
      </c>
      <c r="E24" s="7" t="s">
        <v>5</v>
      </c>
      <c r="F24" s="7" t="s">
        <v>1793</v>
      </c>
      <c r="G24" s="7" t="s">
        <v>1794</v>
      </c>
      <c r="H24" s="7">
        <f t="shared" si="0"/>
        <v>2</v>
      </c>
    </row>
    <row r="25" spans="1:8" ht="25" customHeight="1" x14ac:dyDescent="0.35">
      <c r="A25" s="7" t="s">
        <v>1797</v>
      </c>
      <c r="B25" s="7" t="s">
        <v>1798</v>
      </c>
      <c r="C25" s="7" t="s">
        <v>4</v>
      </c>
      <c r="D25" s="7">
        <v>68</v>
      </c>
      <c r="E25" s="7" t="s">
        <v>5</v>
      </c>
      <c r="F25" s="7" t="s">
        <v>1799</v>
      </c>
      <c r="G25" s="7" t="s">
        <v>1800</v>
      </c>
      <c r="H25" s="7">
        <f t="shared" si="0"/>
        <v>2</v>
      </c>
    </row>
    <row r="26" spans="1:8" ht="25" customHeight="1" x14ac:dyDescent="0.35">
      <c r="A26" s="7" t="s">
        <v>1801</v>
      </c>
      <c r="B26" s="7" t="s">
        <v>1802</v>
      </c>
      <c r="C26" s="7" t="s">
        <v>4</v>
      </c>
      <c r="D26" s="7">
        <v>34</v>
      </c>
      <c r="E26" s="7" t="s">
        <v>5</v>
      </c>
      <c r="F26" s="7" t="s">
        <v>1803</v>
      </c>
      <c r="G26" s="7" t="s">
        <v>1804</v>
      </c>
      <c r="H26" s="7">
        <f t="shared" si="0"/>
        <v>1</v>
      </c>
    </row>
    <row r="27" spans="1:8" ht="25" customHeight="1" x14ac:dyDescent="0.35">
      <c r="A27" s="7" t="s">
        <v>1805</v>
      </c>
      <c r="B27" s="7" t="s">
        <v>1806</v>
      </c>
      <c r="C27" s="7" t="s">
        <v>4</v>
      </c>
      <c r="D27" s="7">
        <v>68</v>
      </c>
      <c r="E27" s="7" t="s">
        <v>5</v>
      </c>
      <c r="F27" s="7" t="s">
        <v>1807</v>
      </c>
      <c r="G27" s="7" t="s">
        <v>1808</v>
      </c>
      <c r="H27" s="7">
        <f t="shared" si="0"/>
        <v>2</v>
      </c>
    </row>
    <row r="28" spans="1:8" ht="25" customHeight="1" x14ac:dyDescent="0.35">
      <c r="A28" s="7" t="s">
        <v>353</v>
      </c>
      <c r="B28" s="7" t="s">
        <v>354</v>
      </c>
      <c r="C28" s="7" t="s">
        <v>4</v>
      </c>
      <c r="D28" s="7">
        <v>34</v>
      </c>
      <c r="E28" s="7" t="s">
        <v>5</v>
      </c>
      <c r="F28" s="7" t="s">
        <v>1809</v>
      </c>
      <c r="G28" s="7" t="s">
        <v>1810</v>
      </c>
      <c r="H28" s="7">
        <f t="shared" si="0"/>
        <v>1</v>
      </c>
    </row>
    <row r="29" spans="1:8" ht="25" customHeight="1" x14ac:dyDescent="0.35">
      <c r="A29" s="7" t="s">
        <v>1612</v>
      </c>
      <c r="B29" s="7" t="s">
        <v>1613</v>
      </c>
      <c r="C29" s="7" t="s">
        <v>4</v>
      </c>
      <c r="D29" s="7">
        <v>34</v>
      </c>
      <c r="E29" s="7" t="s">
        <v>5</v>
      </c>
      <c r="F29" s="7" t="s">
        <v>1811</v>
      </c>
      <c r="G29" s="7" t="s">
        <v>1812</v>
      </c>
      <c r="H29" s="7">
        <f t="shared" si="0"/>
        <v>1</v>
      </c>
    </row>
    <row r="30" spans="1:8" ht="25" customHeight="1" x14ac:dyDescent="0.35">
      <c r="A30" s="7" t="s">
        <v>1616</v>
      </c>
      <c r="B30" s="7" t="s">
        <v>1617</v>
      </c>
      <c r="C30" s="7" t="s">
        <v>4</v>
      </c>
      <c r="D30" s="7">
        <v>34</v>
      </c>
      <c r="E30" s="7" t="s">
        <v>5</v>
      </c>
      <c r="F30" s="7" t="s">
        <v>1811</v>
      </c>
      <c r="G30" s="7" t="s">
        <v>1812</v>
      </c>
      <c r="H30" s="7">
        <f t="shared" si="0"/>
        <v>1</v>
      </c>
    </row>
    <row r="31" spans="1:8" ht="25" customHeight="1" x14ac:dyDescent="0.35">
      <c r="A31" s="7" t="s">
        <v>1813</v>
      </c>
      <c r="B31" s="7" t="s">
        <v>1814</v>
      </c>
      <c r="C31" s="7" t="s">
        <v>4</v>
      </c>
      <c r="D31" s="7">
        <v>34</v>
      </c>
      <c r="E31" s="7" t="s">
        <v>5</v>
      </c>
      <c r="F31" s="7" t="s">
        <v>1811</v>
      </c>
      <c r="G31" s="7" t="s">
        <v>1812</v>
      </c>
      <c r="H31" s="7">
        <f t="shared" si="0"/>
        <v>1</v>
      </c>
    </row>
    <row r="32" spans="1:8" ht="25" customHeight="1" x14ac:dyDescent="0.35">
      <c r="A32" s="7" t="s">
        <v>1815</v>
      </c>
      <c r="B32" s="7" t="s">
        <v>1816</v>
      </c>
      <c r="C32" s="7" t="s">
        <v>4</v>
      </c>
      <c r="D32" s="7">
        <v>34</v>
      </c>
      <c r="E32" s="7" t="s">
        <v>5</v>
      </c>
      <c r="F32" s="7" t="s">
        <v>1811</v>
      </c>
      <c r="G32" s="7" t="s">
        <v>1812</v>
      </c>
      <c r="H32" s="7">
        <f t="shared" si="0"/>
        <v>1</v>
      </c>
    </row>
    <row r="33" spans="1:8" ht="25" customHeight="1" x14ac:dyDescent="0.35">
      <c r="A33" s="7" t="s">
        <v>1817</v>
      </c>
      <c r="B33" s="7" t="s">
        <v>1818</v>
      </c>
      <c r="C33" s="7" t="s">
        <v>4</v>
      </c>
      <c r="D33" s="7">
        <v>34</v>
      </c>
      <c r="E33" s="7" t="s">
        <v>5</v>
      </c>
      <c r="F33" s="7" t="s">
        <v>1811</v>
      </c>
      <c r="G33" s="7" t="s">
        <v>1812</v>
      </c>
      <c r="H33" s="7">
        <f t="shared" si="0"/>
        <v>1</v>
      </c>
    </row>
    <row r="34" spans="1:8" ht="25" customHeight="1" x14ac:dyDescent="0.35">
      <c r="A34" s="7" t="s">
        <v>1819</v>
      </c>
      <c r="B34" s="7" t="s">
        <v>1820</v>
      </c>
      <c r="C34" s="7" t="s">
        <v>4</v>
      </c>
      <c r="D34" s="7">
        <v>34</v>
      </c>
      <c r="E34" s="7" t="s">
        <v>5</v>
      </c>
      <c r="F34" s="7" t="s">
        <v>1811</v>
      </c>
      <c r="G34" s="7" t="s">
        <v>1812</v>
      </c>
      <c r="H34" s="7">
        <f t="shared" si="0"/>
        <v>1</v>
      </c>
    </row>
    <row r="35" spans="1:8" ht="25" customHeight="1" x14ac:dyDescent="0.35">
      <c r="A35" s="7" t="s">
        <v>1821</v>
      </c>
      <c r="B35" s="7" t="s">
        <v>1822</v>
      </c>
      <c r="C35" s="7" t="s">
        <v>4</v>
      </c>
      <c r="D35" s="7">
        <v>34</v>
      </c>
      <c r="E35" s="7" t="s">
        <v>5</v>
      </c>
      <c r="F35" s="7" t="s">
        <v>1823</v>
      </c>
      <c r="G35" s="7" t="s">
        <v>1824</v>
      </c>
      <c r="H35" s="7">
        <f t="shared" si="0"/>
        <v>1</v>
      </c>
    </row>
    <row r="36" spans="1:8" ht="25" customHeight="1" x14ac:dyDescent="0.35">
      <c r="A36" s="7" t="s">
        <v>1825</v>
      </c>
      <c r="B36" s="7" t="s">
        <v>1826</v>
      </c>
      <c r="C36" s="7" t="s">
        <v>4</v>
      </c>
      <c r="D36" s="7">
        <v>34</v>
      </c>
      <c r="E36" s="7" t="s">
        <v>5</v>
      </c>
      <c r="F36" s="7" t="s">
        <v>1823</v>
      </c>
      <c r="G36" s="7" t="s">
        <v>1824</v>
      </c>
      <c r="H36" s="7">
        <f t="shared" si="0"/>
        <v>1</v>
      </c>
    </row>
    <row r="37" spans="1:8" ht="25" customHeight="1" x14ac:dyDescent="0.35">
      <c r="A37" s="7" t="s">
        <v>1827</v>
      </c>
      <c r="B37" s="7" t="s">
        <v>1828</v>
      </c>
      <c r="C37" s="7" t="s">
        <v>4</v>
      </c>
      <c r="D37" s="7">
        <v>34</v>
      </c>
      <c r="E37" s="7" t="s">
        <v>5</v>
      </c>
      <c r="F37" s="7" t="s">
        <v>1829</v>
      </c>
      <c r="G37" s="7" t="s">
        <v>1830</v>
      </c>
      <c r="H37" s="7">
        <f t="shared" si="0"/>
        <v>1</v>
      </c>
    </row>
    <row r="38" spans="1:8" ht="25" customHeight="1" x14ac:dyDescent="0.35">
      <c r="A38" s="7" t="s">
        <v>1831</v>
      </c>
      <c r="B38" s="7" t="s">
        <v>1832</v>
      </c>
      <c r="C38" s="7" t="s">
        <v>4</v>
      </c>
      <c r="D38" s="7">
        <v>34</v>
      </c>
      <c r="E38" s="7" t="s">
        <v>5</v>
      </c>
      <c r="F38" s="7" t="s">
        <v>1833</v>
      </c>
      <c r="G38" s="7" t="s">
        <v>1834</v>
      </c>
      <c r="H38" s="7">
        <f t="shared" si="0"/>
        <v>1</v>
      </c>
    </row>
    <row r="39" spans="1:8" ht="25" customHeight="1" x14ac:dyDescent="0.35">
      <c r="A39" s="7" t="s">
        <v>1835</v>
      </c>
      <c r="B39" s="7" t="s">
        <v>1836</v>
      </c>
      <c r="C39" s="7" t="s">
        <v>4</v>
      </c>
      <c r="D39" s="7">
        <v>68</v>
      </c>
      <c r="E39" s="7" t="s">
        <v>5</v>
      </c>
      <c r="F39" s="7" t="s">
        <v>1837</v>
      </c>
      <c r="G39" s="7" t="s">
        <v>1838</v>
      </c>
      <c r="H39" s="7">
        <f t="shared" si="0"/>
        <v>2</v>
      </c>
    </row>
    <row r="40" spans="1:8" ht="25" customHeight="1" x14ac:dyDescent="0.35">
      <c r="A40" s="7" t="s">
        <v>1839</v>
      </c>
      <c r="B40" s="7" t="s">
        <v>1840</v>
      </c>
      <c r="C40" s="7" t="s">
        <v>4</v>
      </c>
      <c r="D40" s="7">
        <v>68</v>
      </c>
      <c r="E40" s="7" t="s">
        <v>5</v>
      </c>
      <c r="F40" s="7" t="s">
        <v>1841</v>
      </c>
      <c r="G40" s="7" t="s">
        <v>1842</v>
      </c>
      <c r="H40" s="7">
        <f t="shared" si="0"/>
        <v>2</v>
      </c>
    </row>
    <row r="41" spans="1:8" ht="25" customHeight="1" x14ac:dyDescent="0.35">
      <c r="A41" s="7" t="s">
        <v>1843</v>
      </c>
      <c r="B41" s="7" t="s">
        <v>1844</v>
      </c>
      <c r="C41" s="7" t="s">
        <v>4</v>
      </c>
      <c r="D41" s="7">
        <v>68</v>
      </c>
      <c r="E41" s="7" t="s">
        <v>5</v>
      </c>
      <c r="F41" s="7" t="s">
        <v>1845</v>
      </c>
      <c r="G41" s="7" t="s">
        <v>1846</v>
      </c>
      <c r="H41" s="7">
        <f t="shared" si="0"/>
        <v>2</v>
      </c>
    </row>
    <row r="42" spans="1:8" ht="25" customHeight="1" x14ac:dyDescent="0.35">
      <c r="A42" s="7" t="s">
        <v>1847</v>
      </c>
      <c r="B42" s="7" t="s">
        <v>1848</v>
      </c>
      <c r="C42" s="7" t="s">
        <v>4</v>
      </c>
      <c r="D42" s="7">
        <v>34</v>
      </c>
      <c r="E42" s="7" t="s">
        <v>5</v>
      </c>
      <c r="F42" s="7" t="s">
        <v>1849</v>
      </c>
      <c r="G42" s="7" t="s">
        <v>1850</v>
      </c>
      <c r="H42" s="7">
        <f t="shared" si="0"/>
        <v>1</v>
      </c>
    </row>
    <row r="43" spans="1:8" ht="25" customHeight="1" x14ac:dyDescent="0.35">
      <c r="A43" s="7" t="s">
        <v>1851</v>
      </c>
      <c r="B43" s="7" t="s">
        <v>1852</v>
      </c>
      <c r="C43" s="7" t="s">
        <v>4</v>
      </c>
      <c r="D43" s="7">
        <v>34</v>
      </c>
      <c r="E43" s="7" t="s">
        <v>5</v>
      </c>
      <c r="F43" s="7" t="s">
        <v>1853</v>
      </c>
      <c r="G43" s="7" t="s">
        <v>1854</v>
      </c>
      <c r="H43" s="7">
        <f t="shared" si="0"/>
        <v>1</v>
      </c>
    </row>
    <row r="44" spans="1:8" ht="25" customHeight="1" x14ac:dyDescent="0.35">
      <c r="A44" s="7" t="s">
        <v>1622</v>
      </c>
      <c r="B44" s="7" t="s">
        <v>1623</v>
      </c>
      <c r="C44" s="7" t="s">
        <v>4</v>
      </c>
      <c r="D44" s="7">
        <v>34</v>
      </c>
      <c r="E44" s="7" t="s">
        <v>5</v>
      </c>
      <c r="F44" s="7" t="s">
        <v>1855</v>
      </c>
      <c r="G44" s="7" t="s">
        <v>1856</v>
      </c>
      <c r="H44" s="7">
        <f t="shared" si="0"/>
        <v>1</v>
      </c>
    </row>
    <row r="45" spans="1:8" ht="25" customHeight="1" x14ac:dyDescent="0.35">
      <c r="A45" s="7" t="s">
        <v>1857</v>
      </c>
      <c r="B45" s="7" t="s">
        <v>1858</v>
      </c>
      <c r="C45" s="7" t="s">
        <v>4</v>
      </c>
      <c r="D45" s="7">
        <v>34</v>
      </c>
      <c r="E45" s="7" t="s">
        <v>5</v>
      </c>
      <c r="F45" s="7" t="s">
        <v>1859</v>
      </c>
      <c r="G45" s="7" t="s">
        <v>1860</v>
      </c>
      <c r="H45" s="7">
        <f t="shared" si="0"/>
        <v>1</v>
      </c>
    </row>
    <row r="46" spans="1:8" ht="25" customHeight="1" x14ac:dyDescent="0.35">
      <c r="A46" s="7" t="s">
        <v>1861</v>
      </c>
      <c r="B46" s="7" t="s">
        <v>1862</v>
      </c>
      <c r="C46" s="7" t="s">
        <v>4</v>
      </c>
      <c r="D46" s="7">
        <v>34</v>
      </c>
      <c r="E46" s="7" t="s">
        <v>5</v>
      </c>
      <c r="F46" s="7" t="s">
        <v>1859</v>
      </c>
      <c r="G46" s="7" t="s">
        <v>1860</v>
      </c>
      <c r="H46" s="7">
        <f t="shared" si="0"/>
        <v>1</v>
      </c>
    </row>
    <row r="47" spans="1:8" ht="25" customHeight="1" x14ac:dyDescent="0.35">
      <c r="A47" s="7" t="s">
        <v>1863</v>
      </c>
      <c r="B47" s="7" t="s">
        <v>1864</v>
      </c>
      <c r="C47" s="7" t="s">
        <v>4</v>
      </c>
      <c r="D47" s="7">
        <v>170</v>
      </c>
      <c r="E47" s="7" t="s">
        <v>5</v>
      </c>
      <c r="F47" s="7" t="s">
        <v>1865</v>
      </c>
      <c r="G47" s="7" t="s">
        <v>1866</v>
      </c>
      <c r="H47" s="7">
        <f t="shared" si="0"/>
        <v>5</v>
      </c>
    </row>
    <row r="48" spans="1:8" ht="25" customHeight="1" x14ac:dyDescent="0.35">
      <c r="A48" s="7" t="s">
        <v>1563</v>
      </c>
      <c r="B48" s="7" t="s">
        <v>1564</v>
      </c>
      <c r="C48" s="7" t="s">
        <v>4</v>
      </c>
      <c r="D48" s="7">
        <v>68</v>
      </c>
      <c r="E48" s="7" t="s">
        <v>5</v>
      </c>
      <c r="F48" s="7" t="s">
        <v>1867</v>
      </c>
      <c r="G48" s="7" t="s">
        <v>1868</v>
      </c>
      <c r="H48" s="7">
        <f t="shared" si="0"/>
        <v>2</v>
      </c>
    </row>
    <row r="49" spans="1:8" ht="25" customHeight="1" x14ac:dyDescent="0.35">
      <c r="A49" s="7" t="s">
        <v>1869</v>
      </c>
      <c r="B49" s="7" t="s">
        <v>1870</v>
      </c>
      <c r="C49" s="7" t="s">
        <v>4</v>
      </c>
      <c r="D49" s="7">
        <v>68</v>
      </c>
      <c r="E49" s="7" t="s">
        <v>5</v>
      </c>
      <c r="F49" s="7" t="s">
        <v>1871</v>
      </c>
      <c r="G49" s="7" t="s">
        <v>1872</v>
      </c>
      <c r="H49" s="7">
        <f t="shared" si="0"/>
        <v>2</v>
      </c>
    </row>
    <row r="50" spans="1:8" ht="25" customHeight="1" x14ac:dyDescent="0.35">
      <c r="A50" s="7" t="s">
        <v>1873</v>
      </c>
      <c r="B50" s="7" t="s">
        <v>1874</v>
      </c>
      <c r="C50" s="7" t="s">
        <v>4</v>
      </c>
      <c r="D50" s="7">
        <v>68</v>
      </c>
      <c r="E50" s="7" t="s">
        <v>5</v>
      </c>
      <c r="F50" s="7" t="s">
        <v>1875</v>
      </c>
      <c r="G50" s="7" t="s">
        <v>1876</v>
      </c>
      <c r="H50" s="7">
        <f t="shared" si="0"/>
        <v>2</v>
      </c>
    </row>
    <row r="51" spans="1:8" ht="25" customHeight="1" x14ac:dyDescent="0.35">
      <c r="A51" s="7" t="s">
        <v>1873</v>
      </c>
      <c r="B51" s="7" t="s">
        <v>1874</v>
      </c>
      <c r="C51" s="7" t="s">
        <v>4</v>
      </c>
      <c r="D51" s="7">
        <v>68</v>
      </c>
      <c r="E51" s="7" t="s">
        <v>5</v>
      </c>
      <c r="F51" s="7" t="s">
        <v>1875</v>
      </c>
      <c r="G51" s="7" t="s">
        <v>1876</v>
      </c>
      <c r="H51" s="7">
        <f t="shared" si="0"/>
        <v>2</v>
      </c>
    </row>
    <row r="52" spans="1:8" ht="25" customHeight="1" x14ac:dyDescent="0.35">
      <c r="A52" s="7" t="s">
        <v>1877</v>
      </c>
      <c r="B52" s="7" t="s">
        <v>1878</v>
      </c>
      <c r="C52" s="7" t="s">
        <v>4</v>
      </c>
      <c r="D52" s="7">
        <v>34</v>
      </c>
      <c r="E52" s="7" t="s">
        <v>5</v>
      </c>
      <c r="F52" s="7" t="s">
        <v>1879</v>
      </c>
      <c r="G52" s="7" t="s">
        <v>1880</v>
      </c>
      <c r="H52" s="7">
        <f t="shared" si="0"/>
        <v>1</v>
      </c>
    </row>
    <row r="53" spans="1:8" ht="25" customHeight="1" x14ac:dyDescent="0.35">
      <c r="A53" s="7" t="s">
        <v>1881</v>
      </c>
      <c r="B53" s="7" t="s">
        <v>1882</v>
      </c>
      <c r="C53" s="7" t="s">
        <v>4</v>
      </c>
      <c r="D53" s="7">
        <v>68</v>
      </c>
      <c r="E53" s="7" t="s">
        <v>5</v>
      </c>
      <c r="F53" s="7" t="s">
        <v>1757</v>
      </c>
      <c r="G53" s="7" t="s">
        <v>1883</v>
      </c>
      <c r="H53" s="7">
        <f t="shared" si="0"/>
        <v>2</v>
      </c>
    </row>
    <row r="54" spans="1:8" ht="25" customHeight="1" x14ac:dyDescent="0.35">
      <c r="A54" s="7" t="s">
        <v>1884</v>
      </c>
      <c r="B54" s="7" t="s">
        <v>1885</v>
      </c>
      <c r="C54" s="7" t="s">
        <v>4</v>
      </c>
      <c r="D54" s="7">
        <v>68</v>
      </c>
      <c r="E54" s="7" t="s">
        <v>5</v>
      </c>
      <c r="F54" s="7" t="s">
        <v>1886</v>
      </c>
      <c r="G54" s="7" t="s">
        <v>1887</v>
      </c>
      <c r="H54" s="7">
        <f t="shared" si="0"/>
        <v>2</v>
      </c>
    </row>
    <row r="55" spans="1:8" ht="25" customHeight="1" x14ac:dyDescent="0.35">
      <c r="A55" s="7" t="s">
        <v>1888</v>
      </c>
      <c r="B55" s="7" t="s">
        <v>1889</v>
      </c>
      <c r="C55" s="7" t="s">
        <v>4</v>
      </c>
      <c r="D55" s="7">
        <v>68</v>
      </c>
      <c r="E55" s="7" t="s">
        <v>5</v>
      </c>
      <c r="F55" s="7" t="s">
        <v>1890</v>
      </c>
      <c r="G55" s="7" t="s">
        <v>1891</v>
      </c>
      <c r="H55" s="7">
        <f t="shared" si="0"/>
        <v>2</v>
      </c>
    </row>
    <row r="56" spans="1:8" ht="25" customHeight="1" x14ac:dyDescent="0.35">
      <c r="A56" s="7" t="s">
        <v>1892</v>
      </c>
      <c r="B56" s="7" t="s">
        <v>1893</v>
      </c>
      <c r="C56" s="7" t="s">
        <v>4</v>
      </c>
      <c r="D56" s="7">
        <v>68</v>
      </c>
      <c r="E56" s="7" t="s">
        <v>5</v>
      </c>
      <c r="F56" s="7" t="s">
        <v>1894</v>
      </c>
      <c r="G56" s="7" t="s">
        <v>1895</v>
      </c>
      <c r="H56" s="7">
        <f t="shared" si="0"/>
        <v>2</v>
      </c>
    </row>
    <row r="57" spans="1:8" ht="25" customHeight="1" x14ac:dyDescent="0.35">
      <c r="A57" s="7" t="s">
        <v>1896</v>
      </c>
      <c r="B57" s="7" t="s">
        <v>1897</v>
      </c>
      <c r="C57" s="7" t="s">
        <v>4</v>
      </c>
      <c r="D57" s="7">
        <v>68</v>
      </c>
      <c r="E57" s="7" t="s">
        <v>5</v>
      </c>
      <c r="F57" s="7" t="s">
        <v>1898</v>
      </c>
      <c r="G57" s="7" t="s">
        <v>1899</v>
      </c>
      <c r="H57" s="7">
        <f t="shared" si="0"/>
        <v>2</v>
      </c>
    </row>
    <row r="58" spans="1:8" ht="25" customHeight="1" x14ac:dyDescent="0.35">
      <c r="A58" s="7" t="s">
        <v>1900</v>
      </c>
      <c r="B58" s="7" t="s">
        <v>1901</v>
      </c>
      <c r="C58" s="7" t="s">
        <v>4</v>
      </c>
      <c r="D58" s="7">
        <v>68</v>
      </c>
      <c r="E58" s="7" t="s">
        <v>5</v>
      </c>
      <c r="F58" s="7" t="s">
        <v>1902</v>
      </c>
      <c r="G58" s="7" t="s">
        <v>1903</v>
      </c>
      <c r="H58" s="7">
        <f t="shared" si="0"/>
        <v>2</v>
      </c>
    </row>
    <row r="59" spans="1:8" ht="25" customHeight="1" x14ac:dyDescent="0.35">
      <c r="A59" s="7" t="s">
        <v>1904</v>
      </c>
      <c r="B59" s="7" t="s">
        <v>1905</v>
      </c>
      <c r="C59" s="7" t="s">
        <v>4</v>
      </c>
      <c r="D59" s="7">
        <v>34</v>
      </c>
      <c r="E59" s="7" t="s">
        <v>5</v>
      </c>
      <c r="F59" s="7" t="s">
        <v>1906</v>
      </c>
      <c r="G59" s="7" t="s">
        <v>1907</v>
      </c>
      <c r="H59" s="7">
        <f t="shared" si="0"/>
        <v>1</v>
      </c>
    </row>
    <row r="60" spans="1:8" ht="25" customHeight="1" x14ac:dyDescent="0.35">
      <c r="A60" s="7" t="s">
        <v>1908</v>
      </c>
      <c r="B60" s="7" t="s">
        <v>1909</v>
      </c>
      <c r="C60" s="7" t="s">
        <v>4</v>
      </c>
      <c r="D60" s="7">
        <v>34</v>
      </c>
      <c r="E60" s="7" t="s">
        <v>5</v>
      </c>
      <c r="F60" s="7" t="s">
        <v>1910</v>
      </c>
      <c r="G60" s="7" t="s">
        <v>1911</v>
      </c>
      <c r="H60" s="7">
        <f t="shared" si="0"/>
        <v>1</v>
      </c>
    </row>
    <row r="61" spans="1:8" ht="25" customHeight="1" x14ac:dyDescent="0.35">
      <c r="A61" s="7" t="s">
        <v>1912</v>
      </c>
      <c r="B61" s="7" t="s">
        <v>1913</v>
      </c>
      <c r="C61" s="7" t="s">
        <v>4</v>
      </c>
      <c r="D61" s="7">
        <v>34</v>
      </c>
      <c r="E61" s="7" t="s">
        <v>5</v>
      </c>
      <c r="F61" s="7" t="s">
        <v>310</v>
      </c>
      <c r="G61" s="7" t="s">
        <v>1914</v>
      </c>
      <c r="H61" s="7">
        <f t="shared" si="0"/>
        <v>1</v>
      </c>
    </row>
    <row r="62" spans="1:8" ht="25" customHeight="1" x14ac:dyDescent="0.35">
      <c r="A62" s="7" t="s">
        <v>1915</v>
      </c>
      <c r="B62" s="7" t="s">
        <v>1916</v>
      </c>
      <c r="C62" s="7" t="s">
        <v>4</v>
      </c>
      <c r="D62" s="7">
        <v>34</v>
      </c>
      <c r="E62" s="7" t="s">
        <v>5</v>
      </c>
      <c r="F62" s="7" t="s">
        <v>1917</v>
      </c>
      <c r="G62" s="7" t="s">
        <v>1918</v>
      </c>
      <c r="H62" s="7">
        <f t="shared" si="0"/>
        <v>1</v>
      </c>
    </row>
    <row r="63" spans="1:8" ht="25" customHeight="1" x14ac:dyDescent="0.35">
      <c r="A63" s="7" t="s">
        <v>1369</v>
      </c>
      <c r="B63" s="7" t="s">
        <v>1370</v>
      </c>
      <c r="C63" s="7" t="s">
        <v>4</v>
      </c>
      <c r="D63" s="7">
        <v>34</v>
      </c>
      <c r="E63" s="7" t="s">
        <v>5</v>
      </c>
      <c r="F63" s="7" t="s">
        <v>1919</v>
      </c>
      <c r="G63" s="7" t="s">
        <v>1920</v>
      </c>
      <c r="H63" s="7">
        <f t="shared" si="0"/>
        <v>1</v>
      </c>
    </row>
    <row r="64" spans="1:8" ht="25" customHeight="1" x14ac:dyDescent="0.35">
      <c r="A64" s="7" t="s">
        <v>1921</v>
      </c>
      <c r="B64" s="7" t="s">
        <v>1922</v>
      </c>
      <c r="C64" s="7" t="s">
        <v>4</v>
      </c>
      <c r="D64" s="7">
        <v>34</v>
      </c>
      <c r="E64" s="7" t="s">
        <v>5</v>
      </c>
      <c r="F64" s="7" t="s">
        <v>1923</v>
      </c>
      <c r="G64" s="7" t="s">
        <v>1924</v>
      </c>
      <c r="H64" s="7">
        <f t="shared" si="0"/>
        <v>1</v>
      </c>
    </row>
    <row r="65" spans="1:8" ht="25" customHeight="1" x14ac:dyDescent="0.35">
      <c r="A65" s="7" t="s">
        <v>1925</v>
      </c>
      <c r="B65" s="7" t="s">
        <v>1926</v>
      </c>
      <c r="C65" s="7" t="s">
        <v>4</v>
      </c>
      <c r="D65" s="7">
        <v>68</v>
      </c>
      <c r="E65" s="7" t="s">
        <v>5</v>
      </c>
      <c r="F65" s="7" t="s">
        <v>1927</v>
      </c>
      <c r="G65" s="7" t="s">
        <v>1928</v>
      </c>
      <c r="H65" s="7">
        <f t="shared" si="0"/>
        <v>2</v>
      </c>
    </row>
    <row r="66" spans="1:8" ht="25" customHeight="1" x14ac:dyDescent="0.35">
      <c r="A66" s="7" t="s">
        <v>1158</v>
      </c>
      <c r="B66" s="7" t="s">
        <v>1159</v>
      </c>
      <c r="C66" s="7" t="s">
        <v>4</v>
      </c>
      <c r="D66" s="7">
        <v>34</v>
      </c>
      <c r="E66" s="7" t="s">
        <v>5</v>
      </c>
      <c r="F66" s="7" t="s">
        <v>1929</v>
      </c>
      <c r="G66" s="7" t="s">
        <v>1930</v>
      </c>
      <c r="H66" s="7">
        <f t="shared" si="0"/>
        <v>1</v>
      </c>
    </row>
    <row r="67" spans="1:8" x14ac:dyDescent="0.35">
      <c r="G67" s="2" t="s">
        <v>3496</v>
      </c>
      <c r="H67" s="2">
        <f>SUM(H2:H66)</f>
        <v>90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8" orientation="portrait" r:id="rId1"/>
  <headerFooter>
    <oddFooter>&amp;CPage &amp;P of &amp;N</oddFooter>
  </headerFooter>
  <rowBreaks count="1" manualBreakCount="1">
    <brk id="42" max="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713C-7138-4288-BB05-FAF0090DA2C7}">
  <dimension ref="A1:H31"/>
  <sheetViews>
    <sheetView view="pageBreakPreview" topLeftCell="A20" zoomScale="85" zoomScaleNormal="85" zoomScaleSheetLayoutView="85" workbookViewId="0">
      <selection activeCell="I28" sqref="I28"/>
    </sheetView>
  </sheetViews>
  <sheetFormatPr defaultColWidth="36.54296875" defaultRowHeight="16" x14ac:dyDescent="0.35"/>
  <cols>
    <col min="1" max="1" width="15.08984375" style="1" customWidth="1"/>
    <col min="2" max="2" width="44.1796875" style="1" bestFit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8" width="12.5429687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1931</v>
      </c>
      <c r="C1" s="6" t="s">
        <v>3480</v>
      </c>
      <c r="D1" s="5" t="s">
        <v>3488</v>
      </c>
      <c r="E1" s="6" t="s">
        <v>3484</v>
      </c>
      <c r="F1" s="6" t="s">
        <v>3481</v>
      </c>
      <c r="G1" s="6" t="s">
        <v>3482</v>
      </c>
      <c r="H1" s="6" t="s">
        <v>3495</v>
      </c>
    </row>
    <row r="2" spans="1:8" ht="25" customHeight="1" x14ac:dyDescent="0.35">
      <c r="A2" s="7" t="s">
        <v>1932</v>
      </c>
      <c r="B2" s="7" t="s">
        <v>1933</v>
      </c>
      <c r="C2" s="7" t="s">
        <v>4</v>
      </c>
      <c r="D2" s="7">
        <v>68</v>
      </c>
      <c r="E2" s="7" t="s">
        <v>5</v>
      </c>
      <c r="F2" s="7" t="s">
        <v>1934</v>
      </c>
      <c r="G2" s="7" t="s">
        <v>1935</v>
      </c>
      <c r="H2" s="7">
        <f>D2/34</f>
        <v>2</v>
      </c>
    </row>
    <row r="3" spans="1:8" ht="25" customHeight="1" x14ac:dyDescent="0.35">
      <c r="A3" s="7" t="s">
        <v>1936</v>
      </c>
      <c r="B3" s="7" t="s">
        <v>1937</v>
      </c>
      <c r="C3" s="7" t="s">
        <v>53</v>
      </c>
      <c r="D3" s="7">
        <v>68</v>
      </c>
      <c r="E3" s="7" t="s">
        <v>5</v>
      </c>
      <c r="F3" s="7" t="s">
        <v>1938</v>
      </c>
      <c r="G3" s="7" t="s">
        <v>1939</v>
      </c>
      <c r="H3" s="7">
        <f t="shared" ref="H3:H30" si="0">D3/34</f>
        <v>2</v>
      </c>
    </row>
    <row r="4" spans="1:8" ht="25" customHeight="1" x14ac:dyDescent="0.35">
      <c r="A4" s="7" t="s">
        <v>1940</v>
      </c>
      <c r="B4" s="7" t="s">
        <v>1941</v>
      </c>
      <c r="C4" s="7" t="s">
        <v>4</v>
      </c>
      <c r="D4" s="7">
        <v>68</v>
      </c>
      <c r="E4" s="7" t="s">
        <v>5</v>
      </c>
      <c r="F4" s="7" t="s">
        <v>1942</v>
      </c>
      <c r="G4" s="7" t="s">
        <v>1943</v>
      </c>
      <c r="H4" s="7">
        <f t="shared" si="0"/>
        <v>2</v>
      </c>
    </row>
    <row r="5" spans="1:8" ht="25" customHeight="1" x14ac:dyDescent="0.35">
      <c r="A5" s="7" t="s">
        <v>1944</v>
      </c>
      <c r="B5" s="7" t="s">
        <v>1945</v>
      </c>
      <c r="C5" s="7" t="s">
        <v>4</v>
      </c>
      <c r="D5" s="7">
        <v>34</v>
      </c>
      <c r="E5" s="7" t="s">
        <v>5</v>
      </c>
      <c r="F5" s="7" t="s">
        <v>1946</v>
      </c>
      <c r="G5" s="7" t="s">
        <v>1947</v>
      </c>
      <c r="H5" s="7">
        <f t="shared" si="0"/>
        <v>1</v>
      </c>
    </row>
    <row r="6" spans="1:8" ht="25" customHeight="1" x14ac:dyDescent="0.35">
      <c r="A6" s="7" t="s">
        <v>1948</v>
      </c>
      <c r="B6" s="7" t="s">
        <v>1949</v>
      </c>
      <c r="C6" s="7" t="s">
        <v>4</v>
      </c>
      <c r="D6" s="7">
        <v>34</v>
      </c>
      <c r="E6" s="7" t="s">
        <v>5</v>
      </c>
      <c r="F6" s="7" t="s">
        <v>1646</v>
      </c>
      <c r="G6" s="7" t="s">
        <v>1950</v>
      </c>
      <c r="H6" s="7">
        <f t="shared" si="0"/>
        <v>1</v>
      </c>
    </row>
    <row r="7" spans="1:8" ht="25" customHeight="1" x14ac:dyDescent="0.35">
      <c r="A7" s="7" t="s">
        <v>1210</v>
      </c>
      <c r="B7" s="7" t="s">
        <v>1211</v>
      </c>
      <c r="C7" s="7" t="s">
        <v>4</v>
      </c>
      <c r="D7" s="7">
        <v>170</v>
      </c>
      <c r="E7" s="7" t="s">
        <v>5</v>
      </c>
      <c r="F7" s="7" t="s">
        <v>1951</v>
      </c>
      <c r="G7" s="7" t="s">
        <v>1952</v>
      </c>
      <c r="H7" s="7">
        <f t="shared" si="0"/>
        <v>5</v>
      </c>
    </row>
    <row r="8" spans="1:8" ht="25" customHeight="1" x14ac:dyDescent="0.35">
      <c r="A8" s="7" t="s">
        <v>1543</v>
      </c>
      <c r="B8" s="7" t="s">
        <v>1544</v>
      </c>
      <c r="C8" s="7" t="s">
        <v>4</v>
      </c>
      <c r="D8" s="7">
        <v>68</v>
      </c>
      <c r="E8" s="7" t="s">
        <v>5</v>
      </c>
      <c r="F8" s="7" t="s">
        <v>1953</v>
      </c>
      <c r="G8" s="7" t="s">
        <v>1954</v>
      </c>
      <c r="H8" s="7">
        <f t="shared" si="0"/>
        <v>2</v>
      </c>
    </row>
    <row r="9" spans="1:8" ht="25" customHeight="1" x14ac:dyDescent="0.35">
      <c r="A9" s="7" t="s">
        <v>1955</v>
      </c>
      <c r="B9" s="7" t="s">
        <v>1956</v>
      </c>
      <c r="C9" s="7" t="s">
        <v>4</v>
      </c>
      <c r="D9" s="7">
        <v>68</v>
      </c>
      <c r="E9" s="7" t="s">
        <v>5</v>
      </c>
      <c r="F9" s="7" t="s">
        <v>1957</v>
      </c>
      <c r="G9" s="7" t="s">
        <v>1958</v>
      </c>
      <c r="H9" s="7">
        <f t="shared" si="0"/>
        <v>2</v>
      </c>
    </row>
    <row r="10" spans="1:8" ht="25" customHeight="1" x14ac:dyDescent="0.35">
      <c r="A10" s="7" t="s">
        <v>1959</v>
      </c>
      <c r="B10" s="7" t="s">
        <v>1960</v>
      </c>
      <c r="C10" s="7" t="s">
        <v>4</v>
      </c>
      <c r="D10" s="7">
        <v>68</v>
      </c>
      <c r="E10" s="7" t="s">
        <v>5</v>
      </c>
      <c r="F10" s="7" t="s">
        <v>1961</v>
      </c>
      <c r="G10" s="7" t="s">
        <v>1962</v>
      </c>
      <c r="H10" s="7">
        <f t="shared" si="0"/>
        <v>2</v>
      </c>
    </row>
    <row r="11" spans="1:8" ht="25" customHeight="1" x14ac:dyDescent="0.35">
      <c r="A11" s="7" t="s">
        <v>1963</v>
      </c>
      <c r="B11" s="7" t="s">
        <v>1964</v>
      </c>
      <c r="C11" s="7" t="s">
        <v>4</v>
      </c>
      <c r="D11" s="7">
        <v>68</v>
      </c>
      <c r="E11" s="7" t="s">
        <v>5</v>
      </c>
      <c r="F11" s="7" t="s">
        <v>1961</v>
      </c>
      <c r="G11" s="7" t="s">
        <v>1962</v>
      </c>
      <c r="H11" s="7">
        <f t="shared" si="0"/>
        <v>2</v>
      </c>
    </row>
    <row r="12" spans="1:8" ht="25" customHeight="1" x14ac:dyDescent="0.35">
      <c r="A12" s="7" t="s">
        <v>1965</v>
      </c>
      <c r="B12" s="7" t="s">
        <v>1966</v>
      </c>
      <c r="C12" s="7" t="s">
        <v>4</v>
      </c>
      <c r="D12" s="7">
        <v>68</v>
      </c>
      <c r="E12" s="7" t="s">
        <v>5</v>
      </c>
      <c r="F12" s="7" t="s">
        <v>1961</v>
      </c>
      <c r="G12" s="7" t="s">
        <v>1962</v>
      </c>
      <c r="H12" s="7">
        <f t="shared" si="0"/>
        <v>2</v>
      </c>
    </row>
    <row r="13" spans="1:8" ht="25" customHeight="1" x14ac:dyDescent="0.35">
      <c r="A13" s="7" t="s">
        <v>1967</v>
      </c>
      <c r="B13" s="7" t="s">
        <v>1968</v>
      </c>
      <c r="C13" s="7" t="s">
        <v>4</v>
      </c>
      <c r="D13" s="7">
        <v>68</v>
      </c>
      <c r="E13" s="7" t="s">
        <v>5</v>
      </c>
      <c r="F13" s="7" t="s">
        <v>1961</v>
      </c>
      <c r="G13" s="7" t="s">
        <v>1962</v>
      </c>
      <c r="H13" s="7">
        <f t="shared" si="0"/>
        <v>2</v>
      </c>
    </row>
    <row r="14" spans="1:8" ht="25" customHeight="1" x14ac:dyDescent="0.35">
      <c r="A14" s="7" t="s">
        <v>1969</v>
      </c>
      <c r="B14" s="7" t="s">
        <v>1970</v>
      </c>
      <c r="C14" s="7" t="s">
        <v>4</v>
      </c>
      <c r="D14" s="7">
        <v>68</v>
      </c>
      <c r="E14" s="7" t="s">
        <v>5</v>
      </c>
      <c r="F14" s="7" t="s">
        <v>1934</v>
      </c>
      <c r="G14" s="7" t="s">
        <v>1935</v>
      </c>
      <c r="H14" s="7">
        <f t="shared" si="0"/>
        <v>2</v>
      </c>
    </row>
    <row r="15" spans="1:8" ht="25" customHeight="1" x14ac:dyDescent="0.35">
      <c r="A15" s="7" t="s">
        <v>929</v>
      </c>
      <c r="B15" s="7" t="s">
        <v>930</v>
      </c>
      <c r="C15" s="7" t="s">
        <v>4</v>
      </c>
      <c r="D15" s="7">
        <v>68</v>
      </c>
      <c r="E15" s="7" t="s">
        <v>5</v>
      </c>
      <c r="F15" s="7" t="s">
        <v>1971</v>
      </c>
      <c r="G15" s="7" t="s">
        <v>1972</v>
      </c>
      <c r="H15" s="7">
        <f t="shared" si="0"/>
        <v>2</v>
      </c>
    </row>
    <row r="16" spans="1:8" ht="25" customHeight="1" x14ac:dyDescent="0.35">
      <c r="A16" s="7" t="s">
        <v>1973</v>
      </c>
      <c r="B16" s="7" t="s">
        <v>1974</v>
      </c>
      <c r="C16" s="7" t="s">
        <v>53</v>
      </c>
      <c r="D16" s="7">
        <v>68</v>
      </c>
      <c r="E16" s="7" t="s">
        <v>5</v>
      </c>
      <c r="F16" s="7" t="s">
        <v>1975</v>
      </c>
      <c r="G16" s="7" t="s">
        <v>1976</v>
      </c>
      <c r="H16" s="7">
        <f t="shared" si="0"/>
        <v>2</v>
      </c>
    </row>
    <row r="17" spans="1:8" ht="25" customHeight="1" x14ac:dyDescent="0.35">
      <c r="A17" s="7" t="s">
        <v>1977</v>
      </c>
      <c r="B17" s="7" t="s">
        <v>1978</v>
      </c>
      <c r="C17" s="7" t="s">
        <v>4</v>
      </c>
      <c r="D17" s="7">
        <v>68</v>
      </c>
      <c r="E17" s="7" t="s">
        <v>5</v>
      </c>
      <c r="F17" s="7" t="s">
        <v>1979</v>
      </c>
      <c r="G17" s="7" t="s">
        <v>1980</v>
      </c>
      <c r="H17" s="7">
        <f t="shared" si="0"/>
        <v>2</v>
      </c>
    </row>
    <row r="18" spans="1:8" ht="25" customHeight="1" x14ac:dyDescent="0.35">
      <c r="A18" s="7" t="s">
        <v>1981</v>
      </c>
      <c r="B18" s="7" t="s">
        <v>1982</v>
      </c>
      <c r="C18" s="7" t="s">
        <v>4</v>
      </c>
      <c r="D18" s="7">
        <v>68</v>
      </c>
      <c r="E18" s="7" t="s">
        <v>5</v>
      </c>
      <c r="F18" s="7" t="s">
        <v>1983</v>
      </c>
      <c r="G18" s="7" t="s">
        <v>1984</v>
      </c>
      <c r="H18" s="7">
        <f t="shared" si="0"/>
        <v>2</v>
      </c>
    </row>
    <row r="19" spans="1:8" ht="25" customHeight="1" x14ac:dyDescent="0.35">
      <c r="A19" s="7" t="s">
        <v>1985</v>
      </c>
      <c r="B19" s="7" t="s">
        <v>1986</v>
      </c>
      <c r="C19" s="7" t="s">
        <v>4</v>
      </c>
      <c r="D19" s="7">
        <v>68</v>
      </c>
      <c r="E19" s="7" t="s">
        <v>5</v>
      </c>
      <c r="F19" s="7" t="s">
        <v>1987</v>
      </c>
      <c r="G19" s="7" t="s">
        <v>1988</v>
      </c>
      <c r="H19" s="7">
        <f t="shared" si="0"/>
        <v>2</v>
      </c>
    </row>
    <row r="20" spans="1:8" ht="25" customHeight="1" x14ac:dyDescent="0.35">
      <c r="A20" s="7" t="s">
        <v>1989</v>
      </c>
      <c r="B20" s="7" t="s">
        <v>1990</v>
      </c>
      <c r="C20" s="7" t="s">
        <v>53</v>
      </c>
      <c r="D20" s="7">
        <v>68</v>
      </c>
      <c r="E20" s="7" t="s">
        <v>5</v>
      </c>
      <c r="F20" s="7" t="s">
        <v>1991</v>
      </c>
      <c r="G20" s="7" t="s">
        <v>1992</v>
      </c>
      <c r="H20" s="7">
        <f t="shared" si="0"/>
        <v>2</v>
      </c>
    </row>
    <row r="21" spans="1:8" ht="25" customHeight="1" x14ac:dyDescent="0.35">
      <c r="A21" s="7" t="s">
        <v>1993</v>
      </c>
      <c r="B21" s="7" t="s">
        <v>1994</v>
      </c>
      <c r="C21" s="7" t="s">
        <v>4</v>
      </c>
      <c r="D21" s="7">
        <v>68</v>
      </c>
      <c r="E21" s="7" t="s">
        <v>5</v>
      </c>
      <c r="F21" s="7" t="s">
        <v>1995</v>
      </c>
      <c r="G21" s="7" t="s">
        <v>1996</v>
      </c>
      <c r="H21" s="7">
        <f t="shared" si="0"/>
        <v>2</v>
      </c>
    </row>
    <row r="22" spans="1:8" ht="25" customHeight="1" x14ac:dyDescent="0.35">
      <c r="A22" s="7" t="s">
        <v>1997</v>
      </c>
      <c r="B22" s="7" t="s">
        <v>1998</v>
      </c>
      <c r="C22" s="7" t="s">
        <v>4</v>
      </c>
      <c r="D22" s="7">
        <v>34</v>
      </c>
      <c r="E22" s="7" t="s">
        <v>5</v>
      </c>
      <c r="F22" s="7" t="s">
        <v>1999</v>
      </c>
      <c r="G22" s="7" t="s">
        <v>2000</v>
      </c>
      <c r="H22" s="7">
        <f t="shared" si="0"/>
        <v>1</v>
      </c>
    </row>
    <row r="23" spans="1:8" ht="25" customHeight="1" x14ac:dyDescent="0.35">
      <c r="A23" s="7" t="s">
        <v>2001</v>
      </c>
      <c r="B23" s="7" t="s">
        <v>2002</v>
      </c>
      <c r="C23" s="7" t="s">
        <v>4</v>
      </c>
      <c r="D23" s="7">
        <v>34</v>
      </c>
      <c r="E23" s="7" t="s">
        <v>5</v>
      </c>
      <c r="F23" s="7" t="s">
        <v>2003</v>
      </c>
      <c r="G23" s="7" t="s">
        <v>2004</v>
      </c>
      <c r="H23" s="7">
        <f t="shared" si="0"/>
        <v>1</v>
      </c>
    </row>
    <row r="24" spans="1:8" ht="25" customHeight="1" x14ac:dyDescent="0.35">
      <c r="A24" s="7" t="s">
        <v>2005</v>
      </c>
      <c r="B24" s="7" t="s">
        <v>2006</v>
      </c>
      <c r="C24" s="7" t="s">
        <v>4</v>
      </c>
      <c r="D24" s="7">
        <v>34</v>
      </c>
      <c r="E24" s="7" t="s">
        <v>5</v>
      </c>
      <c r="F24" s="7" t="s">
        <v>1934</v>
      </c>
      <c r="G24" s="7" t="s">
        <v>2007</v>
      </c>
      <c r="H24" s="7">
        <f t="shared" si="0"/>
        <v>1</v>
      </c>
    </row>
    <row r="25" spans="1:8" ht="25" customHeight="1" x14ac:dyDescent="0.35">
      <c r="A25" s="7" t="s">
        <v>1959</v>
      </c>
      <c r="B25" s="7" t="s">
        <v>1960</v>
      </c>
      <c r="C25" s="7" t="s">
        <v>4</v>
      </c>
      <c r="D25" s="7">
        <v>34</v>
      </c>
      <c r="E25" s="7" t="s">
        <v>5</v>
      </c>
      <c r="F25" s="7" t="s">
        <v>1961</v>
      </c>
      <c r="G25" s="7" t="s">
        <v>2008</v>
      </c>
      <c r="H25" s="7">
        <f t="shared" si="0"/>
        <v>1</v>
      </c>
    </row>
    <row r="26" spans="1:8" ht="25" customHeight="1" x14ac:dyDescent="0.35">
      <c r="A26" s="7" t="s">
        <v>1323</v>
      </c>
      <c r="B26" s="7" t="s">
        <v>1324</v>
      </c>
      <c r="C26" s="7" t="s">
        <v>4</v>
      </c>
      <c r="D26" s="7">
        <v>34</v>
      </c>
      <c r="E26" s="7" t="s">
        <v>5</v>
      </c>
      <c r="F26" s="7" t="s">
        <v>2009</v>
      </c>
      <c r="G26" s="7" t="s">
        <v>2010</v>
      </c>
      <c r="H26" s="7">
        <f t="shared" si="0"/>
        <v>1</v>
      </c>
    </row>
    <row r="27" spans="1:8" ht="25" customHeight="1" x14ac:dyDescent="0.35">
      <c r="A27" s="7" t="s">
        <v>2011</v>
      </c>
      <c r="B27" s="7" t="s">
        <v>2012</v>
      </c>
      <c r="C27" s="7" t="s">
        <v>53</v>
      </c>
      <c r="D27" s="7">
        <v>34</v>
      </c>
      <c r="E27" s="7" t="s">
        <v>5</v>
      </c>
      <c r="F27" s="7" t="s">
        <v>2013</v>
      </c>
      <c r="G27" s="7" t="s">
        <v>2014</v>
      </c>
      <c r="H27" s="7">
        <f t="shared" si="0"/>
        <v>1</v>
      </c>
    </row>
    <row r="28" spans="1:8" ht="25" customHeight="1" x14ac:dyDescent="0.35">
      <c r="A28" s="7" t="s">
        <v>2015</v>
      </c>
      <c r="B28" s="7" t="s">
        <v>2016</v>
      </c>
      <c r="C28" s="7" t="s">
        <v>4</v>
      </c>
      <c r="D28" s="7">
        <v>34</v>
      </c>
      <c r="E28" s="7" t="s">
        <v>5</v>
      </c>
      <c r="F28" s="7" t="s">
        <v>2017</v>
      </c>
      <c r="G28" s="7" t="s">
        <v>2018</v>
      </c>
      <c r="H28" s="7">
        <f t="shared" si="0"/>
        <v>1</v>
      </c>
    </row>
    <row r="29" spans="1:8" ht="25" customHeight="1" x14ac:dyDescent="0.35">
      <c r="A29" s="7" t="s">
        <v>2019</v>
      </c>
      <c r="B29" s="7" t="s">
        <v>2020</v>
      </c>
      <c r="C29" s="7" t="s">
        <v>4</v>
      </c>
      <c r="D29" s="7">
        <v>34</v>
      </c>
      <c r="E29" s="7" t="s">
        <v>5</v>
      </c>
      <c r="F29" s="7" t="s">
        <v>2021</v>
      </c>
      <c r="G29" s="7" t="s">
        <v>2022</v>
      </c>
      <c r="H29" s="7">
        <f t="shared" si="0"/>
        <v>1</v>
      </c>
    </row>
    <row r="30" spans="1:8" ht="25" customHeight="1" x14ac:dyDescent="0.35">
      <c r="A30" s="7" t="s">
        <v>715</v>
      </c>
      <c r="B30" s="7" t="s">
        <v>716</v>
      </c>
      <c r="C30" s="7" t="s">
        <v>4</v>
      </c>
      <c r="D30" s="7">
        <v>34</v>
      </c>
      <c r="E30" s="7" t="s">
        <v>5</v>
      </c>
      <c r="F30" s="7" t="s">
        <v>373</v>
      </c>
      <c r="G30" s="7" t="s">
        <v>2023</v>
      </c>
      <c r="H30" s="7">
        <f t="shared" si="0"/>
        <v>1</v>
      </c>
    </row>
    <row r="31" spans="1:8" x14ac:dyDescent="0.35">
      <c r="G31" s="2" t="s">
        <v>3496</v>
      </c>
      <c r="H31" s="2">
        <f>SUM(H2:H30)</f>
        <v>50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52AE-DE0C-4C1B-BE45-5B88DA4A8DE9}">
  <dimension ref="A1:H30"/>
  <sheetViews>
    <sheetView view="pageBreakPreview" topLeftCell="A18" zoomScale="85" zoomScaleNormal="85" zoomScaleSheetLayoutView="85" workbookViewId="0">
      <selection activeCell="H30" sqref="G30:H30"/>
    </sheetView>
  </sheetViews>
  <sheetFormatPr defaultColWidth="36.54296875" defaultRowHeight="16" x14ac:dyDescent="0.35"/>
  <cols>
    <col min="1" max="1" width="15.08984375" style="1" customWidth="1"/>
    <col min="2" max="2" width="41.7265625" style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8" width="12.5429687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2024</v>
      </c>
      <c r="C1" s="6" t="s">
        <v>3480</v>
      </c>
      <c r="D1" s="6" t="s">
        <v>3488</v>
      </c>
      <c r="E1" s="6" t="s">
        <v>3484</v>
      </c>
      <c r="F1" s="6" t="s">
        <v>3481</v>
      </c>
      <c r="G1" s="6" t="s">
        <v>3482</v>
      </c>
      <c r="H1" s="6" t="s">
        <v>3487</v>
      </c>
    </row>
    <row r="2" spans="1:8" ht="25" customHeight="1" x14ac:dyDescent="0.35">
      <c r="A2" s="7" t="s">
        <v>47</v>
      </c>
      <c r="B2" s="7" t="s">
        <v>48</v>
      </c>
      <c r="C2" s="7" t="s">
        <v>4</v>
      </c>
      <c r="D2" s="7">
        <v>4</v>
      </c>
      <c r="E2" s="7" t="s">
        <v>5</v>
      </c>
      <c r="F2" s="7" t="s">
        <v>49</v>
      </c>
      <c r="G2" s="7" t="s">
        <v>2025</v>
      </c>
      <c r="H2" s="7">
        <f>D2/2</f>
        <v>2</v>
      </c>
    </row>
    <row r="3" spans="1:8" ht="25" customHeight="1" x14ac:dyDescent="0.35">
      <c r="A3" s="7" t="s">
        <v>1705</v>
      </c>
      <c r="B3" s="7" t="s">
        <v>1706</v>
      </c>
      <c r="C3" s="7" t="s">
        <v>4</v>
      </c>
      <c r="D3" s="7">
        <v>2</v>
      </c>
      <c r="E3" s="7" t="s">
        <v>5</v>
      </c>
      <c r="F3" s="7" t="s">
        <v>2026</v>
      </c>
      <c r="G3" s="7" t="s">
        <v>2027</v>
      </c>
      <c r="H3" s="7">
        <f t="shared" ref="H3:H29" si="0">D3/2</f>
        <v>1</v>
      </c>
    </row>
    <row r="4" spans="1:8" ht="25" customHeight="1" x14ac:dyDescent="0.35">
      <c r="A4" s="7" t="s">
        <v>2028</v>
      </c>
      <c r="B4" s="7" t="s">
        <v>2029</v>
      </c>
      <c r="C4" s="7" t="s">
        <v>4</v>
      </c>
      <c r="D4" s="7">
        <v>2</v>
      </c>
      <c r="E4" s="7" t="s">
        <v>5</v>
      </c>
      <c r="F4" s="7" t="s">
        <v>1867</v>
      </c>
      <c r="G4" s="7" t="s">
        <v>2030</v>
      </c>
      <c r="H4" s="7">
        <f t="shared" si="0"/>
        <v>1</v>
      </c>
    </row>
    <row r="5" spans="1:8" ht="25" customHeight="1" x14ac:dyDescent="0.35">
      <c r="A5" s="7" t="s">
        <v>2031</v>
      </c>
      <c r="B5" s="7" t="s">
        <v>2032</v>
      </c>
      <c r="C5" s="7" t="s">
        <v>4</v>
      </c>
      <c r="D5" s="7">
        <v>2</v>
      </c>
      <c r="E5" s="7" t="s">
        <v>5</v>
      </c>
      <c r="F5" s="7" t="s">
        <v>2033</v>
      </c>
      <c r="G5" s="7" t="s">
        <v>2034</v>
      </c>
      <c r="H5" s="7">
        <f t="shared" si="0"/>
        <v>1</v>
      </c>
    </row>
    <row r="6" spans="1:8" ht="25" customHeight="1" x14ac:dyDescent="0.35">
      <c r="A6" s="7" t="s">
        <v>2035</v>
      </c>
      <c r="B6" s="7" t="s">
        <v>2036</v>
      </c>
      <c r="C6" s="7" t="s">
        <v>53</v>
      </c>
      <c r="D6" s="7">
        <v>2</v>
      </c>
      <c r="E6" s="7" t="s">
        <v>5</v>
      </c>
      <c r="F6" s="7" t="s">
        <v>2037</v>
      </c>
      <c r="G6" s="7" t="s">
        <v>2038</v>
      </c>
      <c r="H6" s="7">
        <f t="shared" si="0"/>
        <v>1</v>
      </c>
    </row>
    <row r="7" spans="1:8" ht="25" customHeight="1" x14ac:dyDescent="0.35">
      <c r="A7" s="7" t="s">
        <v>2039</v>
      </c>
      <c r="B7" s="7" t="s">
        <v>2040</v>
      </c>
      <c r="C7" s="7" t="s">
        <v>4</v>
      </c>
      <c r="D7" s="7">
        <v>4</v>
      </c>
      <c r="E7" s="7" t="s">
        <v>5</v>
      </c>
      <c r="F7" s="7" t="s">
        <v>2041</v>
      </c>
      <c r="G7" s="7" t="s">
        <v>2042</v>
      </c>
      <c r="H7" s="7">
        <f t="shared" si="0"/>
        <v>2</v>
      </c>
    </row>
    <row r="8" spans="1:8" ht="25" customHeight="1" x14ac:dyDescent="0.35">
      <c r="A8" s="7" t="s">
        <v>841</v>
      </c>
      <c r="B8" s="7" t="s">
        <v>842</v>
      </c>
      <c r="C8" s="7" t="s">
        <v>53</v>
      </c>
      <c r="D8" s="7">
        <v>2</v>
      </c>
      <c r="E8" s="7" t="s">
        <v>5</v>
      </c>
      <c r="F8" s="7" t="s">
        <v>2043</v>
      </c>
      <c r="G8" s="7" t="s">
        <v>2044</v>
      </c>
      <c r="H8" s="7">
        <f t="shared" si="0"/>
        <v>1</v>
      </c>
    </row>
    <row r="9" spans="1:8" ht="25" customHeight="1" x14ac:dyDescent="0.35">
      <c r="A9" s="7" t="s">
        <v>2045</v>
      </c>
      <c r="B9" s="7" t="s">
        <v>2046</v>
      </c>
      <c r="C9" s="7" t="s">
        <v>4</v>
      </c>
      <c r="D9" s="7">
        <v>8</v>
      </c>
      <c r="E9" s="7" t="s">
        <v>5</v>
      </c>
      <c r="F9" s="7" t="s">
        <v>2047</v>
      </c>
      <c r="G9" s="7" t="s">
        <v>2048</v>
      </c>
      <c r="H9" s="7">
        <f t="shared" si="0"/>
        <v>4</v>
      </c>
    </row>
    <row r="10" spans="1:8" ht="25" customHeight="1" x14ac:dyDescent="0.35">
      <c r="A10" s="7" t="s">
        <v>2049</v>
      </c>
      <c r="B10" s="7" t="s">
        <v>2050</v>
      </c>
      <c r="C10" s="7" t="s">
        <v>4</v>
      </c>
      <c r="D10" s="7">
        <v>2</v>
      </c>
      <c r="E10" s="7" t="s">
        <v>5</v>
      </c>
      <c r="F10" s="7" t="s">
        <v>2051</v>
      </c>
      <c r="G10" s="7" t="s">
        <v>2052</v>
      </c>
      <c r="H10" s="7">
        <f t="shared" si="0"/>
        <v>1</v>
      </c>
    </row>
    <row r="11" spans="1:8" ht="25" customHeight="1" x14ac:dyDescent="0.35">
      <c r="A11" s="7" t="s">
        <v>2053</v>
      </c>
      <c r="B11" s="7" t="s">
        <v>2054</v>
      </c>
      <c r="C11" s="7" t="s">
        <v>4</v>
      </c>
      <c r="D11" s="7">
        <v>4</v>
      </c>
      <c r="E11" s="7" t="s">
        <v>5</v>
      </c>
      <c r="F11" s="7" t="s">
        <v>2055</v>
      </c>
      <c r="G11" s="7" t="s">
        <v>2056</v>
      </c>
      <c r="H11" s="7">
        <f t="shared" si="0"/>
        <v>2</v>
      </c>
    </row>
    <row r="12" spans="1:8" ht="25" customHeight="1" x14ac:dyDescent="0.35">
      <c r="A12" s="7" t="s">
        <v>2057</v>
      </c>
      <c r="B12" s="7" t="s">
        <v>2058</v>
      </c>
      <c r="C12" s="7" t="s">
        <v>4</v>
      </c>
      <c r="D12" s="7">
        <v>2</v>
      </c>
      <c r="E12" s="7" t="s">
        <v>5</v>
      </c>
      <c r="F12" s="7" t="s">
        <v>2059</v>
      </c>
      <c r="G12" s="7" t="s">
        <v>2060</v>
      </c>
      <c r="H12" s="7">
        <f t="shared" si="0"/>
        <v>1</v>
      </c>
    </row>
    <row r="13" spans="1:8" ht="25" customHeight="1" x14ac:dyDescent="0.35">
      <c r="A13" s="7" t="s">
        <v>2061</v>
      </c>
      <c r="B13" s="7" t="s">
        <v>2062</v>
      </c>
      <c r="C13" s="7" t="s">
        <v>4</v>
      </c>
      <c r="D13" s="7">
        <v>4</v>
      </c>
      <c r="E13" s="7" t="s">
        <v>5</v>
      </c>
      <c r="F13" s="7" t="s">
        <v>2063</v>
      </c>
      <c r="G13" s="7" t="s">
        <v>2064</v>
      </c>
      <c r="H13" s="7">
        <f t="shared" si="0"/>
        <v>2</v>
      </c>
    </row>
    <row r="14" spans="1:8" ht="25" customHeight="1" x14ac:dyDescent="0.35">
      <c r="A14" s="7" t="s">
        <v>349</v>
      </c>
      <c r="B14" s="7" t="s">
        <v>350</v>
      </c>
      <c r="C14" s="7" t="s">
        <v>4</v>
      </c>
      <c r="D14" s="7">
        <v>2</v>
      </c>
      <c r="E14" s="7" t="s">
        <v>5</v>
      </c>
      <c r="F14" s="7" t="s">
        <v>2065</v>
      </c>
      <c r="G14" s="7" t="s">
        <v>2066</v>
      </c>
      <c r="H14" s="7">
        <f t="shared" si="0"/>
        <v>1</v>
      </c>
    </row>
    <row r="15" spans="1:8" ht="25" customHeight="1" x14ac:dyDescent="0.35">
      <c r="A15" s="7" t="s">
        <v>1884</v>
      </c>
      <c r="B15" s="7" t="s">
        <v>1885</v>
      </c>
      <c r="C15" s="7" t="s">
        <v>4</v>
      </c>
      <c r="D15" s="7">
        <v>4</v>
      </c>
      <c r="E15" s="7" t="s">
        <v>5</v>
      </c>
      <c r="F15" s="7" t="s">
        <v>2067</v>
      </c>
      <c r="G15" s="7" t="s">
        <v>2068</v>
      </c>
      <c r="H15" s="7">
        <f t="shared" si="0"/>
        <v>2</v>
      </c>
    </row>
    <row r="16" spans="1:8" ht="25" customHeight="1" x14ac:dyDescent="0.35">
      <c r="A16" s="7" t="s">
        <v>2069</v>
      </c>
      <c r="B16" s="7" t="s">
        <v>2070</v>
      </c>
      <c r="C16" s="7" t="s">
        <v>4</v>
      </c>
      <c r="D16" s="7">
        <v>2</v>
      </c>
      <c r="E16" s="7" t="s">
        <v>5</v>
      </c>
      <c r="F16" s="7" t="s">
        <v>2071</v>
      </c>
      <c r="G16" s="7" t="s">
        <v>2072</v>
      </c>
      <c r="H16" s="7">
        <f t="shared" si="0"/>
        <v>1</v>
      </c>
    </row>
    <row r="17" spans="1:8" ht="25" customHeight="1" x14ac:dyDescent="0.35">
      <c r="A17" s="7" t="s">
        <v>2073</v>
      </c>
      <c r="B17" s="7" t="s">
        <v>2074</v>
      </c>
      <c r="C17" s="7" t="s">
        <v>4</v>
      </c>
      <c r="D17" s="7">
        <v>2</v>
      </c>
      <c r="E17" s="7" t="s">
        <v>5</v>
      </c>
      <c r="F17" s="7" t="s">
        <v>2075</v>
      </c>
      <c r="G17" s="7" t="s">
        <v>2076</v>
      </c>
      <c r="H17" s="7">
        <f t="shared" si="0"/>
        <v>1</v>
      </c>
    </row>
    <row r="18" spans="1:8" ht="25" customHeight="1" x14ac:dyDescent="0.35">
      <c r="A18" s="7" t="s">
        <v>296</v>
      </c>
      <c r="B18" s="7" t="s">
        <v>297</v>
      </c>
      <c r="C18" s="7" t="s">
        <v>4</v>
      </c>
      <c r="D18" s="7">
        <v>4</v>
      </c>
      <c r="E18" s="7" t="s">
        <v>5</v>
      </c>
      <c r="F18" s="7" t="s">
        <v>2077</v>
      </c>
      <c r="G18" s="7" t="s">
        <v>2078</v>
      </c>
      <c r="H18" s="7">
        <f t="shared" si="0"/>
        <v>2</v>
      </c>
    </row>
    <row r="19" spans="1:8" ht="25" customHeight="1" x14ac:dyDescent="0.35">
      <c r="A19" s="7" t="s">
        <v>2079</v>
      </c>
      <c r="B19" s="7" t="s">
        <v>2080</v>
      </c>
      <c r="C19" s="7" t="s">
        <v>53</v>
      </c>
      <c r="D19" s="7">
        <v>2</v>
      </c>
      <c r="E19" s="7" t="s">
        <v>5</v>
      </c>
      <c r="F19" s="7" t="s">
        <v>2081</v>
      </c>
      <c r="G19" s="7" t="s">
        <v>155</v>
      </c>
      <c r="H19" s="7">
        <f t="shared" si="0"/>
        <v>1</v>
      </c>
    </row>
    <row r="20" spans="1:8" ht="25" customHeight="1" x14ac:dyDescent="0.35">
      <c r="A20" s="7" t="s">
        <v>2082</v>
      </c>
      <c r="B20" s="7" t="s">
        <v>1974</v>
      </c>
      <c r="C20" s="7" t="s">
        <v>4</v>
      </c>
      <c r="D20" s="7">
        <v>2</v>
      </c>
      <c r="E20" s="7" t="s">
        <v>5</v>
      </c>
      <c r="F20" s="7" t="s">
        <v>2083</v>
      </c>
      <c r="G20" s="7" t="s">
        <v>2084</v>
      </c>
      <c r="H20" s="7">
        <f t="shared" si="0"/>
        <v>1</v>
      </c>
    </row>
    <row r="21" spans="1:8" ht="25" customHeight="1" x14ac:dyDescent="0.35">
      <c r="A21" s="7" t="s">
        <v>2085</v>
      </c>
      <c r="B21" s="7" t="s">
        <v>2086</v>
      </c>
      <c r="C21" s="7" t="s">
        <v>4</v>
      </c>
      <c r="D21" s="7">
        <v>2</v>
      </c>
      <c r="E21" s="7" t="s">
        <v>5</v>
      </c>
      <c r="F21" s="7" t="s">
        <v>2087</v>
      </c>
      <c r="G21" s="7" t="s">
        <v>2088</v>
      </c>
      <c r="H21" s="7">
        <f t="shared" si="0"/>
        <v>1</v>
      </c>
    </row>
    <row r="22" spans="1:8" ht="25" customHeight="1" x14ac:dyDescent="0.35">
      <c r="A22" s="7" t="s">
        <v>860</v>
      </c>
      <c r="B22" s="7" t="s">
        <v>861</v>
      </c>
      <c r="C22" s="7" t="s">
        <v>4</v>
      </c>
      <c r="D22" s="7">
        <v>2</v>
      </c>
      <c r="E22" s="7" t="s">
        <v>5</v>
      </c>
      <c r="F22" s="7" t="s">
        <v>2089</v>
      </c>
      <c r="G22" s="7" t="s">
        <v>2090</v>
      </c>
      <c r="H22" s="7">
        <f t="shared" si="0"/>
        <v>1</v>
      </c>
    </row>
    <row r="23" spans="1:8" ht="25" customHeight="1" x14ac:dyDescent="0.35">
      <c r="A23" s="7" t="s">
        <v>2091</v>
      </c>
      <c r="B23" s="7" t="s">
        <v>2092</v>
      </c>
      <c r="C23" s="7" t="s">
        <v>4</v>
      </c>
      <c r="D23" s="7">
        <v>4</v>
      </c>
      <c r="E23" s="7" t="s">
        <v>5</v>
      </c>
      <c r="F23" s="7" t="s">
        <v>2041</v>
      </c>
      <c r="G23" s="7" t="s">
        <v>2042</v>
      </c>
      <c r="H23" s="7">
        <f t="shared" si="0"/>
        <v>2</v>
      </c>
    </row>
    <row r="24" spans="1:8" ht="25" customHeight="1" x14ac:dyDescent="0.35">
      <c r="A24" s="7" t="s">
        <v>2093</v>
      </c>
      <c r="B24" s="7" t="s">
        <v>2094</v>
      </c>
      <c r="C24" s="7" t="s">
        <v>4</v>
      </c>
      <c r="D24" s="7">
        <v>2</v>
      </c>
      <c r="E24" s="7" t="s">
        <v>5</v>
      </c>
      <c r="F24" s="7" t="s">
        <v>2095</v>
      </c>
      <c r="G24" s="7" t="s">
        <v>2096</v>
      </c>
      <c r="H24" s="7">
        <f t="shared" si="0"/>
        <v>1</v>
      </c>
    </row>
    <row r="25" spans="1:8" ht="25" customHeight="1" x14ac:dyDescent="0.35">
      <c r="A25" s="7" t="s">
        <v>2097</v>
      </c>
      <c r="B25" s="7" t="s">
        <v>2098</v>
      </c>
      <c r="C25" s="7" t="s">
        <v>4</v>
      </c>
      <c r="D25" s="7">
        <v>2</v>
      </c>
      <c r="E25" s="7" t="s">
        <v>5</v>
      </c>
      <c r="F25" s="7" t="s">
        <v>2099</v>
      </c>
      <c r="G25" s="7" t="s">
        <v>2100</v>
      </c>
      <c r="H25" s="7">
        <f t="shared" si="0"/>
        <v>1</v>
      </c>
    </row>
    <row r="26" spans="1:8" ht="25" customHeight="1" x14ac:dyDescent="0.35">
      <c r="A26" s="7" t="s">
        <v>637</v>
      </c>
      <c r="B26" s="7" t="s">
        <v>638</v>
      </c>
      <c r="C26" s="7" t="s">
        <v>4</v>
      </c>
      <c r="D26" s="7">
        <v>4</v>
      </c>
      <c r="E26" s="7" t="s">
        <v>5</v>
      </c>
      <c r="F26" s="7" t="s">
        <v>639</v>
      </c>
      <c r="G26" s="7" t="s">
        <v>2101</v>
      </c>
      <c r="H26" s="7">
        <f t="shared" si="0"/>
        <v>2</v>
      </c>
    </row>
    <row r="27" spans="1:8" ht="25" customHeight="1" x14ac:dyDescent="0.35">
      <c r="A27" s="7" t="s">
        <v>2102</v>
      </c>
      <c r="B27" s="7" t="s">
        <v>2103</v>
      </c>
      <c r="C27" s="7" t="s">
        <v>53</v>
      </c>
      <c r="D27" s="7">
        <v>30</v>
      </c>
      <c r="E27" s="7" t="s">
        <v>5</v>
      </c>
      <c r="F27" s="7" t="s">
        <v>2104</v>
      </c>
      <c r="G27" s="7" t="s">
        <v>2105</v>
      </c>
      <c r="H27" s="7">
        <f t="shared" si="0"/>
        <v>15</v>
      </c>
    </row>
    <row r="28" spans="1:8" ht="25" customHeight="1" x14ac:dyDescent="0.35">
      <c r="A28" s="7" t="s">
        <v>2106</v>
      </c>
      <c r="B28" s="7" t="s">
        <v>2107</v>
      </c>
      <c r="C28" s="7" t="s">
        <v>53</v>
      </c>
      <c r="D28" s="7">
        <v>30</v>
      </c>
      <c r="E28" s="7" t="s">
        <v>5</v>
      </c>
      <c r="F28" s="7" t="s">
        <v>2108</v>
      </c>
      <c r="G28" s="7" t="s">
        <v>2109</v>
      </c>
      <c r="H28" s="7">
        <f t="shared" si="0"/>
        <v>15</v>
      </c>
    </row>
    <row r="29" spans="1:8" ht="25" customHeight="1" x14ac:dyDescent="0.35">
      <c r="A29" s="7" t="s">
        <v>2110</v>
      </c>
      <c r="B29" s="7" t="s">
        <v>2111</v>
      </c>
      <c r="C29" s="7" t="s">
        <v>4</v>
      </c>
      <c r="D29" s="7">
        <v>4</v>
      </c>
      <c r="E29" s="7" t="s">
        <v>5</v>
      </c>
      <c r="F29" s="7" t="s">
        <v>2112</v>
      </c>
      <c r="G29" s="7" t="s">
        <v>2113</v>
      </c>
      <c r="H29" s="7">
        <f t="shared" si="0"/>
        <v>2</v>
      </c>
    </row>
    <row r="30" spans="1:8" x14ac:dyDescent="0.35">
      <c r="G30" s="2" t="s">
        <v>3496</v>
      </c>
      <c r="H30" s="2">
        <f>SUM(H2:H29)</f>
        <v>68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9CF2-C39D-4CD9-87A9-942CC9DE3EF9}">
  <dimension ref="A1:H57"/>
  <sheetViews>
    <sheetView view="pageBreakPreview" topLeftCell="A46" zoomScale="85" zoomScaleNormal="85" zoomScaleSheetLayoutView="85" workbookViewId="0">
      <selection activeCell="H57" sqref="G57:H57"/>
    </sheetView>
  </sheetViews>
  <sheetFormatPr defaultColWidth="36.54296875" defaultRowHeight="16" x14ac:dyDescent="0.35"/>
  <cols>
    <col min="1" max="1" width="15.08984375" style="1" customWidth="1"/>
    <col min="2" max="2" width="46.90625" style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12.54296875" style="1" bestFit="1" customWidth="1"/>
    <col min="8" max="8" width="8.363281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2114</v>
      </c>
      <c r="C1" s="6" t="s">
        <v>3480</v>
      </c>
      <c r="D1" s="5" t="s">
        <v>3488</v>
      </c>
      <c r="E1" s="6" t="s">
        <v>3484</v>
      </c>
      <c r="F1" s="6" t="s">
        <v>3481</v>
      </c>
      <c r="G1" s="6" t="s">
        <v>3482</v>
      </c>
      <c r="H1" s="6" t="s">
        <v>3487</v>
      </c>
    </row>
    <row r="2" spans="1:8" ht="25" customHeight="1" x14ac:dyDescent="0.35">
      <c r="A2" s="7" t="s">
        <v>47</v>
      </c>
      <c r="B2" s="7" t="s">
        <v>48</v>
      </c>
      <c r="C2" s="7" t="s">
        <v>4</v>
      </c>
      <c r="D2" s="7">
        <v>15</v>
      </c>
      <c r="E2" s="7" t="s">
        <v>5</v>
      </c>
      <c r="F2" s="7" t="s">
        <v>2115</v>
      </c>
      <c r="G2" s="7" t="s">
        <v>2116</v>
      </c>
      <c r="H2" s="7">
        <f>D2/15</f>
        <v>1</v>
      </c>
    </row>
    <row r="3" spans="1:8" ht="25" customHeight="1" x14ac:dyDescent="0.35">
      <c r="A3" s="7" t="s">
        <v>1779</v>
      </c>
      <c r="B3" s="7" t="s">
        <v>1780</v>
      </c>
      <c r="C3" s="7" t="s">
        <v>4</v>
      </c>
      <c r="D3" s="7">
        <v>30</v>
      </c>
      <c r="E3" s="7" t="s">
        <v>5</v>
      </c>
      <c r="F3" s="7" t="s">
        <v>2117</v>
      </c>
      <c r="G3" s="7" t="s">
        <v>2118</v>
      </c>
      <c r="H3" s="7">
        <f t="shared" ref="H3:H56" si="0">D3/15</f>
        <v>2</v>
      </c>
    </row>
    <row r="4" spans="1:8" ht="25" customHeight="1" x14ac:dyDescent="0.35">
      <c r="A4" s="7" t="s">
        <v>2102</v>
      </c>
      <c r="B4" s="7" t="s">
        <v>2103</v>
      </c>
      <c r="C4" s="7" t="s">
        <v>53</v>
      </c>
      <c r="D4" s="7">
        <v>90</v>
      </c>
      <c r="E4" s="7" t="s">
        <v>5</v>
      </c>
      <c r="F4" s="7" t="s">
        <v>1041</v>
      </c>
      <c r="G4" s="7" t="s">
        <v>2119</v>
      </c>
      <c r="H4" s="7">
        <f t="shared" si="0"/>
        <v>6</v>
      </c>
    </row>
    <row r="5" spans="1:8" ht="25" customHeight="1" x14ac:dyDescent="0.35">
      <c r="A5" s="7" t="s">
        <v>2106</v>
      </c>
      <c r="B5" s="7" t="s">
        <v>2107</v>
      </c>
      <c r="C5" s="7" t="s">
        <v>53</v>
      </c>
      <c r="D5" s="7">
        <v>90</v>
      </c>
      <c r="E5" s="7" t="s">
        <v>5</v>
      </c>
      <c r="F5" s="7" t="s">
        <v>2120</v>
      </c>
      <c r="G5" s="7" t="s">
        <v>2121</v>
      </c>
      <c r="H5" s="7">
        <f t="shared" si="0"/>
        <v>6</v>
      </c>
    </row>
    <row r="6" spans="1:8" ht="25" customHeight="1" x14ac:dyDescent="0.35">
      <c r="A6" s="7" t="s">
        <v>2122</v>
      </c>
      <c r="B6" s="7" t="s">
        <v>2123</v>
      </c>
      <c r="C6" s="7" t="s">
        <v>53</v>
      </c>
      <c r="D6" s="7">
        <v>15</v>
      </c>
      <c r="E6" s="7" t="s">
        <v>5</v>
      </c>
      <c r="F6" s="7" t="s">
        <v>2124</v>
      </c>
      <c r="G6" s="7" t="s">
        <v>2125</v>
      </c>
      <c r="H6" s="7">
        <f t="shared" si="0"/>
        <v>1</v>
      </c>
    </row>
    <row r="7" spans="1:8" ht="25" customHeight="1" x14ac:dyDescent="0.35">
      <c r="A7" s="7" t="s">
        <v>2126</v>
      </c>
      <c r="B7" s="7" t="s">
        <v>2127</v>
      </c>
      <c r="C7" s="7" t="s">
        <v>53</v>
      </c>
      <c r="D7" s="7">
        <v>15</v>
      </c>
      <c r="E7" s="7" t="s">
        <v>5</v>
      </c>
      <c r="F7" s="7" t="s">
        <v>2128</v>
      </c>
      <c r="G7" s="7" t="s">
        <v>578</v>
      </c>
      <c r="H7" s="7">
        <f t="shared" si="0"/>
        <v>1</v>
      </c>
    </row>
    <row r="8" spans="1:8" ht="25" customHeight="1" x14ac:dyDescent="0.35">
      <c r="A8" s="7" t="s">
        <v>944</v>
      </c>
      <c r="B8" s="7" t="s">
        <v>945</v>
      </c>
      <c r="C8" s="7" t="s">
        <v>53</v>
      </c>
      <c r="D8" s="7">
        <v>15</v>
      </c>
      <c r="E8" s="7" t="s">
        <v>5</v>
      </c>
      <c r="F8" s="7" t="s">
        <v>2129</v>
      </c>
      <c r="G8" s="7" t="s">
        <v>2130</v>
      </c>
      <c r="H8" s="7">
        <f t="shared" si="0"/>
        <v>1</v>
      </c>
    </row>
    <row r="9" spans="1:8" ht="25" customHeight="1" x14ac:dyDescent="0.35">
      <c r="A9" s="7" t="s">
        <v>584</v>
      </c>
      <c r="B9" s="7" t="s">
        <v>585</v>
      </c>
      <c r="C9" s="7" t="s">
        <v>4</v>
      </c>
      <c r="D9" s="7">
        <v>15</v>
      </c>
      <c r="E9" s="7" t="s">
        <v>5</v>
      </c>
      <c r="F9" s="7" t="s">
        <v>2131</v>
      </c>
      <c r="G9" s="7" t="s">
        <v>2132</v>
      </c>
      <c r="H9" s="7">
        <f t="shared" si="0"/>
        <v>1</v>
      </c>
    </row>
    <row r="10" spans="1:8" ht="25" customHeight="1" x14ac:dyDescent="0.35">
      <c r="A10" s="7" t="s">
        <v>2133</v>
      </c>
      <c r="B10" s="7" t="s">
        <v>2134</v>
      </c>
      <c r="C10" s="7" t="s">
        <v>4</v>
      </c>
      <c r="D10" s="7">
        <v>15</v>
      </c>
      <c r="E10" s="7" t="s">
        <v>5</v>
      </c>
      <c r="F10" s="7" t="s">
        <v>2135</v>
      </c>
      <c r="G10" s="7" t="s">
        <v>2136</v>
      </c>
      <c r="H10" s="7">
        <f t="shared" si="0"/>
        <v>1</v>
      </c>
    </row>
    <row r="11" spans="1:8" ht="25" customHeight="1" x14ac:dyDescent="0.35">
      <c r="A11" s="7" t="s">
        <v>2137</v>
      </c>
      <c r="B11" s="7" t="s">
        <v>2138</v>
      </c>
      <c r="C11" s="7" t="s">
        <v>4</v>
      </c>
      <c r="D11" s="7">
        <v>15</v>
      </c>
      <c r="E11" s="7" t="s">
        <v>5</v>
      </c>
      <c r="F11" s="7" t="s">
        <v>2139</v>
      </c>
      <c r="G11" s="7" t="s">
        <v>2140</v>
      </c>
      <c r="H11" s="7">
        <f t="shared" si="0"/>
        <v>1</v>
      </c>
    </row>
    <row r="12" spans="1:8" ht="25" customHeight="1" x14ac:dyDescent="0.35">
      <c r="A12" s="7" t="s">
        <v>580</v>
      </c>
      <c r="B12" s="7" t="s">
        <v>581</v>
      </c>
      <c r="C12" s="7" t="s">
        <v>4</v>
      </c>
      <c r="D12" s="7">
        <v>15</v>
      </c>
      <c r="E12" s="7" t="s">
        <v>5</v>
      </c>
      <c r="F12" s="7" t="s">
        <v>2141</v>
      </c>
      <c r="G12" s="7" t="s">
        <v>2142</v>
      </c>
      <c r="H12" s="7">
        <f t="shared" si="0"/>
        <v>1</v>
      </c>
    </row>
    <row r="13" spans="1:8" ht="25" customHeight="1" x14ac:dyDescent="0.35">
      <c r="A13" s="7" t="s">
        <v>1031</v>
      </c>
      <c r="B13" s="7" t="s">
        <v>1032</v>
      </c>
      <c r="C13" s="7" t="s">
        <v>4</v>
      </c>
      <c r="D13" s="7">
        <v>15</v>
      </c>
      <c r="E13" s="7" t="s">
        <v>5</v>
      </c>
      <c r="F13" s="7" t="s">
        <v>2143</v>
      </c>
      <c r="G13" s="7" t="s">
        <v>2144</v>
      </c>
      <c r="H13" s="7">
        <f t="shared" si="0"/>
        <v>1</v>
      </c>
    </row>
    <row r="14" spans="1:8" ht="25" customHeight="1" x14ac:dyDescent="0.35">
      <c r="A14" s="7" t="s">
        <v>2145</v>
      </c>
      <c r="B14" s="7" t="s">
        <v>2146</v>
      </c>
      <c r="C14" s="7" t="s">
        <v>4</v>
      </c>
      <c r="D14" s="7">
        <v>15</v>
      </c>
      <c r="E14" s="7" t="s">
        <v>5</v>
      </c>
      <c r="F14" s="7" t="s">
        <v>2147</v>
      </c>
      <c r="G14" s="7" t="s">
        <v>2148</v>
      </c>
      <c r="H14" s="7">
        <f t="shared" si="0"/>
        <v>1</v>
      </c>
    </row>
    <row r="15" spans="1:8" ht="25" customHeight="1" x14ac:dyDescent="0.35">
      <c r="A15" s="7" t="s">
        <v>2149</v>
      </c>
      <c r="B15" s="7" t="s">
        <v>2150</v>
      </c>
      <c r="C15" s="7" t="s">
        <v>4</v>
      </c>
      <c r="D15" s="7">
        <v>15</v>
      </c>
      <c r="E15" s="7" t="s">
        <v>5</v>
      </c>
      <c r="F15" s="7" t="s">
        <v>2151</v>
      </c>
      <c r="G15" s="7" t="s">
        <v>2152</v>
      </c>
      <c r="H15" s="7">
        <f t="shared" si="0"/>
        <v>1</v>
      </c>
    </row>
    <row r="16" spans="1:8" ht="25" customHeight="1" x14ac:dyDescent="0.35">
      <c r="A16" s="7" t="s">
        <v>2153</v>
      </c>
      <c r="B16" s="7" t="s">
        <v>2154</v>
      </c>
      <c r="C16" s="7" t="s">
        <v>4</v>
      </c>
      <c r="D16" s="7">
        <v>15</v>
      </c>
      <c r="E16" s="7" t="s">
        <v>5</v>
      </c>
      <c r="F16" s="7" t="s">
        <v>2155</v>
      </c>
      <c r="G16" s="7" t="s">
        <v>2156</v>
      </c>
      <c r="H16" s="7">
        <f t="shared" si="0"/>
        <v>1</v>
      </c>
    </row>
    <row r="17" spans="1:8" ht="25" customHeight="1" x14ac:dyDescent="0.35">
      <c r="A17" s="7" t="s">
        <v>1973</v>
      </c>
      <c r="B17" s="7" t="s">
        <v>1974</v>
      </c>
      <c r="C17" s="7" t="s">
        <v>53</v>
      </c>
      <c r="D17" s="7">
        <v>15</v>
      </c>
      <c r="E17" s="7" t="s">
        <v>5</v>
      </c>
      <c r="F17" s="7" t="s">
        <v>2157</v>
      </c>
      <c r="G17" s="7" t="s">
        <v>2158</v>
      </c>
      <c r="H17" s="7">
        <f t="shared" si="0"/>
        <v>1</v>
      </c>
    </row>
    <row r="18" spans="1:8" ht="25" customHeight="1" x14ac:dyDescent="0.35">
      <c r="A18" s="7" t="s">
        <v>2159</v>
      </c>
      <c r="B18" s="7" t="s">
        <v>2160</v>
      </c>
      <c r="C18" s="7" t="s">
        <v>4</v>
      </c>
      <c r="D18" s="7">
        <v>15</v>
      </c>
      <c r="E18" s="7" t="s">
        <v>5</v>
      </c>
      <c r="F18" s="7" t="s">
        <v>2161</v>
      </c>
      <c r="G18" s="7" t="s">
        <v>2162</v>
      </c>
      <c r="H18" s="7">
        <f t="shared" si="0"/>
        <v>1</v>
      </c>
    </row>
    <row r="19" spans="1:8" ht="25" customHeight="1" x14ac:dyDescent="0.35">
      <c r="A19" s="7" t="s">
        <v>2163</v>
      </c>
      <c r="B19" s="7" t="s">
        <v>2164</v>
      </c>
      <c r="C19" s="7" t="s">
        <v>4</v>
      </c>
      <c r="D19" s="7">
        <v>15</v>
      </c>
      <c r="E19" s="7" t="s">
        <v>5</v>
      </c>
      <c r="F19" s="7" t="s">
        <v>2161</v>
      </c>
      <c r="G19" s="7" t="s">
        <v>2162</v>
      </c>
      <c r="H19" s="7">
        <f t="shared" si="0"/>
        <v>1</v>
      </c>
    </row>
    <row r="20" spans="1:8" ht="25" customHeight="1" x14ac:dyDescent="0.35">
      <c r="A20" s="7" t="s">
        <v>2165</v>
      </c>
      <c r="B20" s="7" t="s">
        <v>2166</v>
      </c>
      <c r="C20" s="7" t="s">
        <v>4</v>
      </c>
      <c r="D20" s="7">
        <v>15</v>
      </c>
      <c r="E20" s="7" t="s">
        <v>5</v>
      </c>
      <c r="F20" s="7" t="s">
        <v>2167</v>
      </c>
      <c r="G20" s="7" t="s">
        <v>2168</v>
      </c>
      <c r="H20" s="7">
        <f t="shared" si="0"/>
        <v>1</v>
      </c>
    </row>
    <row r="21" spans="1:8" ht="25" customHeight="1" x14ac:dyDescent="0.35">
      <c r="A21" s="7" t="s">
        <v>993</v>
      </c>
      <c r="B21" s="7" t="s">
        <v>994</v>
      </c>
      <c r="C21" s="7" t="s">
        <v>4</v>
      </c>
      <c r="D21" s="7">
        <v>15</v>
      </c>
      <c r="E21" s="7" t="s">
        <v>5</v>
      </c>
      <c r="F21" s="7" t="s">
        <v>2169</v>
      </c>
      <c r="G21" s="7" t="s">
        <v>2170</v>
      </c>
      <c r="H21" s="7">
        <f t="shared" si="0"/>
        <v>1</v>
      </c>
    </row>
    <row r="22" spans="1:8" ht="25" customHeight="1" x14ac:dyDescent="0.35">
      <c r="A22" s="7" t="s">
        <v>2171</v>
      </c>
      <c r="B22" s="7" t="s">
        <v>2172</v>
      </c>
      <c r="C22" s="7" t="s">
        <v>4</v>
      </c>
      <c r="D22" s="7">
        <v>30</v>
      </c>
      <c r="E22" s="7" t="s">
        <v>5</v>
      </c>
      <c r="F22" s="7" t="s">
        <v>2173</v>
      </c>
      <c r="G22" s="7" t="s">
        <v>2174</v>
      </c>
      <c r="H22" s="7">
        <f t="shared" si="0"/>
        <v>2</v>
      </c>
    </row>
    <row r="23" spans="1:8" ht="25" customHeight="1" x14ac:dyDescent="0.35">
      <c r="A23" s="7" t="s">
        <v>2175</v>
      </c>
      <c r="B23" s="7" t="s">
        <v>2176</v>
      </c>
      <c r="C23" s="7" t="s">
        <v>4</v>
      </c>
      <c r="D23" s="7">
        <v>30</v>
      </c>
      <c r="E23" s="7" t="s">
        <v>5</v>
      </c>
      <c r="F23" s="7" t="s">
        <v>2177</v>
      </c>
      <c r="G23" s="7" t="s">
        <v>2178</v>
      </c>
      <c r="H23" s="7">
        <f t="shared" si="0"/>
        <v>2</v>
      </c>
    </row>
    <row r="24" spans="1:8" ht="25" customHeight="1" x14ac:dyDescent="0.35">
      <c r="A24" s="7" t="s">
        <v>2179</v>
      </c>
      <c r="B24" s="7" t="s">
        <v>2180</v>
      </c>
      <c r="C24" s="7" t="s">
        <v>4</v>
      </c>
      <c r="D24" s="7">
        <v>15</v>
      </c>
      <c r="E24" s="7" t="s">
        <v>5</v>
      </c>
      <c r="F24" s="7" t="s">
        <v>1184</v>
      </c>
      <c r="G24" s="7" t="s">
        <v>2181</v>
      </c>
      <c r="H24" s="7">
        <f t="shared" si="0"/>
        <v>1</v>
      </c>
    </row>
    <row r="25" spans="1:8" ht="25" customHeight="1" x14ac:dyDescent="0.35">
      <c r="A25" s="7" t="s">
        <v>353</v>
      </c>
      <c r="B25" s="7" t="s">
        <v>354</v>
      </c>
      <c r="C25" s="7" t="s">
        <v>4</v>
      </c>
      <c r="D25" s="7">
        <v>15</v>
      </c>
      <c r="E25" s="7" t="s">
        <v>5</v>
      </c>
      <c r="F25" s="7" t="s">
        <v>2182</v>
      </c>
      <c r="G25" s="7" t="s">
        <v>2183</v>
      </c>
      <c r="H25" s="7">
        <f t="shared" si="0"/>
        <v>1</v>
      </c>
    </row>
    <row r="26" spans="1:8" ht="25" customHeight="1" x14ac:dyDescent="0.35">
      <c r="A26" s="7" t="s">
        <v>2184</v>
      </c>
      <c r="B26" s="7" t="s">
        <v>2185</v>
      </c>
      <c r="C26" s="7" t="s">
        <v>4</v>
      </c>
      <c r="D26" s="7">
        <v>30</v>
      </c>
      <c r="E26" s="7" t="s">
        <v>5</v>
      </c>
      <c r="F26" s="7" t="s">
        <v>2186</v>
      </c>
      <c r="G26" s="7" t="s">
        <v>2187</v>
      </c>
      <c r="H26" s="7">
        <f t="shared" si="0"/>
        <v>2</v>
      </c>
    </row>
    <row r="27" spans="1:8" ht="25" customHeight="1" x14ac:dyDescent="0.35">
      <c r="A27" s="7" t="s">
        <v>2188</v>
      </c>
      <c r="B27" s="7" t="s">
        <v>2189</v>
      </c>
      <c r="C27" s="7" t="s">
        <v>4</v>
      </c>
      <c r="D27" s="7">
        <v>15</v>
      </c>
      <c r="E27" s="7" t="s">
        <v>5</v>
      </c>
      <c r="F27" s="7" t="s">
        <v>2190</v>
      </c>
      <c r="G27" s="7" t="s">
        <v>2191</v>
      </c>
      <c r="H27" s="7">
        <f t="shared" si="0"/>
        <v>1</v>
      </c>
    </row>
    <row r="28" spans="1:8" ht="25" customHeight="1" x14ac:dyDescent="0.35">
      <c r="A28" s="7" t="s">
        <v>2192</v>
      </c>
      <c r="B28" s="7" t="s">
        <v>2193</v>
      </c>
      <c r="C28" s="7" t="s">
        <v>4</v>
      </c>
      <c r="D28" s="7">
        <v>15</v>
      </c>
      <c r="E28" s="7" t="s">
        <v>5</v>
      </c>
      <c r="F28" s="7" t="s">
        <v>2190</v>
      </c>
      <c r="G28" s="7" t="s">
        <v>2191</v>
      </c>
      <c r="H28" s="7">
        <f t="shared" si="0"/>
        <v>1</v>
      </c>
    </row>
    <row r="29" spans="1:8" ht="25" customHeight="1" x14ac:dyDescent="0.35">
      <c r="A29" s="7" t="s">
        <v>2194</v>
      </c>
      <c r="B29" s="7" t="s">
        <v>2195</v>
      </c>
      <c r="C29" s="7" t="s">
        <v>4</v>
      </c>
      <c r="D29" s="7">
        <v>15</v>
      </c>
      <c r="E29" s="7" t="s">
        <v>5</v>
      </c>
      <c r="F29" s="7" t="s">
        <v>2196</v>
      </c>
      <c r="G29" s="7" t="s">
        <v>2197</v>
      </c>
      <c r="H29" s="7">
        <f t="shared" si="0"/>
        <v>1</v>
      </c>
    </row>
    <row r="30" spans="1:8" ht="25" customHeight="1" x14ac:dyDescent="0.35">
      <c r="A30" s="7" t="s">
        <v>2198</v>
      </c>
      <c r="B30" s="7" t="s">
        <v>2199</v>
      </c>
      <c r="C30" s="7" t="s">
        <v>4</v>
      </c>
      <c r="D30" s="7">
        <v>15</v>
      </c>
      <c r="E30" s="7" t="s">
        <v>5</v>
      </c>
      <c r="F30" s="7" t="s">
        <v>2196</v>
      </c>
      <c r="G30" s="7" t="s">
        <v>2197</v>
      </c>
      <c r="H30" s="7">
        <f t="shared" si="0"/>
        <v>1</v>
      </c>
    </row>
    <row r="31" spans="1:8" ht="25" customHeight="1" x14ac:dyDescent="0.35">
      <c r="A31" s="7" t="s">
        <v>2200</v>
      </c>
      <c r="B31" s="7" t="s">
        <v>2201</v>
      </c>
      <c r="C31" s="7" t="s">
        <v>4</v>
      </c>
      <c r="D31" s="7">
        <v>15</v>
      </c>
      <c r="E31" s="7" t="s">
        <v>5</v>
      </c>
      <c r="F31" s="7" t="s">
        <v>2202</v>
      </c>
      <c r="G31" s="7" t="s">
        <v>2203</v>
      </c>
      <c r="H31" s="7">
        <f t="shared" si="0"/>
        <v>1</v>
      </c>
    </row>
    <row r="32" spans="1:8" ht="25" customHeight="1" x14ac:dyDescent="0.35">
      <c r="A32" s="7" t="s">
        <v>2204</v>
      </c>
      <c r="B32" s="7" t="s">
        <v>2205</v>
      </c>
      <c r="C32" s="7" t="s">
        <v>4</v>
      </c>
      <c r="D32" s="7">
        <v>15</v>
      </c>
      <c r="E32" s="7" t="s">
        <v>5</v>
      </c>
      <c r="F32" s="7" t="s">
        <v>2206</v>
      </c>
      <c r="G32" s="7" t="s">
        <v>2207</v>
      </c>
      <c r="H32" s="7">
        <f t="shared" si="0"/>
        <v>1</v>
      </c>
    </row>
    <row r="33" spans="1:8" ht="25" customHeight="1" x14ac:dyDescent="0.35">
      <c r="A33" s="7" t="s">
        <v>2085</v>
      </c>
      <c r="B33" s="7" t="s">
        <v>2086</v>
      </c>
      <c r="C33" s="7" t="s">
        <v>4</v>
      </c>
      <c r="D33" s="7">
        <v>30</v>
      </c>
      <c r="E33" s="7" t="s">
        <v>5</v>
      </c>
      <c r="F33" s="7" t="s">
        <v>2208</v>
      </c>
      <c r="G33" s="7" t="s">
        <v>2209</v>
      </c>
      <c r="H33" s="7">
        <f t="shared" si="0"/>
        <v>2</v>
      </c>
    </row>
    <row r="34" spans="1:8" ht="25" customHeight="1" x14ac:dyDescent="0.35">
      <c r="A34" s="7" t="s">
        <v>766</v>
      </c>
      <c r="B34" s="7" t="s">
        <v>767</v>
      </c>
      <c r="C34" s="7" t="s">
        <v>4</v>
      </c>
      <c r="D34" s="7">
        <v>15</v>
      </c>
      <c r="E34" s="7" t="s">
        <v>5</v>
      </c>
      <c r="F34" s="7" t="s">
        <v>2210</v>
      </c>
      <c r="G34" s="7" t="s">
        <v>2211</v>
      </c>
      <c r="H34" s="7">
        <f t="shared" si="0"/>
        <v>1</v>
      </c>
    </row>
    <row r="35" spans="1:8" ht="25" customHeight="1" x14ac:dyDescent="0.35">
      <c r="A35" s="7" t="s">
        <v>2212</v>
      </c>
      <c r="B35" s="7" t="s">
        <v>2213</v>
      </c>
      <c r="C35" s="7" t="s">
        <v>4</v>
      </c>
      <c r="D35" s="7">
        <v>30</v>
      </c>
      <c r="E35" s="7" t="s">
        <v>5</v>
      </c>
      <c r="F35" s="7" t="s">
        <v>2214</v>
      </c>
      <c r="G35" s="7" t="s">
        <v>2215</v>
      </c>
      <c r="H35" s="7">
        <f t="shared" si="0"/>
        <v>2</v>
      </c>
    </row>
    <row r="36" spans="1:8" ht="25" customHeight="1" x14ac:dyDescent="0.35">
      <c r="A36" s="7" t="s">
        <v>2216</v>
      </c>
      <c r="B36" s="7" t="s">
        <v>2217</v>
      </c>
      <c r="C36" s="7" t="s">
        <v>4</v>
      </c>
      <c r="D36" s="7">
        <v>15</v>
      </c>
      <c r="E36" s="7" t="s">
        <v>5</v>
      </c>
      <c r="F36" s="7" t="s">
        <v>2218</v>
      </c>
      <c r="G36" s="7" t="s">
        <v>2219</v>
      </c>
      <c r="H36" s="7">
        <f t="shared" si="0"/>
        <v>1</v>
      </c>
    </row>
    <row r="37" spans="1:8" ht="25" customHeight="1" x14ac:dyDescent="0.35">
      <c r="A37" s="7" t="s">
        <v>2220</v>
      </c>
      <c r="B37" s="7" t="s">
        <v>2221</v>
      </c>
      <c r="C37" s="7" t="s">
        <v>4</v>
      </c>
      <c r="D37" s="7">
        <v>15</v>
      </c>
      <c r="E37" s="7" t="s">
        <v>5</v>
      </c>
      <c r="F37" s="7" t="s">
        <v>2222</v>
      </c>
      <c r="G37" s="7" t="s">
        <v>2223</v>
      </c>
      <c r="H37" s="7">
        <f t="shared" si="0"/>
        <v>1</v>
      </c>
    </row>
    <row r="38" spans="1:8" ht="25" customHeight="1" x14ac:dyDescent="0.35">
      <c r="A38" s="7" t="s">
        <v>1353</v>
      </c>
      <c r="B38" s="7" t="s">
        <v>1354</v>
      </c>
      <c r="C38" s="7" t="s">
        <v>4</v>
      </c>
      <c r="D38" s="7">
        <v>15</v>
      </c>
      <c r="E38" s="7" t="s">
        <v>5</v>
      </c>
      <c r="F38" s="7" t="s">
        <v>2224</v>
      </c>
      <c r="G38" s="7" t="s">
        <v>2225</v>
      </c>
      <c r="H38" s="7">
        <f t="shared" si="0"/>
        <v>1</v>
      </c>
    </row>
    <row r="39" spans="1:8" ht="25" customHeight="1" x14ac:dyDescent="0.35">
      <c r="A39" s="7" t="s">
        <v>1349</v>
      </c>
      <c r="B39" s="7" t="s">
        <v>1350</v>
      </c>
      <c r="C39" s="7" t="s">
        <v>500</v>
      </c>
      <c r="D39" s="7">
        <v>15</v>
      </c>
      <c r="E39" s="7" t="s">
        <v>5</v>
      </c>
      <c r="F39" s="7" t="s">
        <v>2226</v>
      </c>
      <c r="G39" s="7" t="s">
        <v>2227</v>
      </c>
      <c r="H39" s="7">
        <f t="shared" si="0"/>
        <v>1</v>
      </c>
    </row>
    <row r="40" spans="1:8" ht="25" customHeight="1" x14ac:dyDescent="0.35">
      <c r="A40" s="7" t="s">
        <v>2228</v>
      </c>
      <c r="B40" s="7" t="s">
        <v>2229</v>
      </c>
      <c r="C40" s="7" t="s">
        <v>4</v>
      </c>
      <c r="D40" s="7">
        <v>30</v>
      </c>
      <c r="E40" s="7" t="s">
        <v>5</v>
      </c>
      <c r="F40" s="7" t="s">
        <v>1322</v>
      </c>
      <c r="G40" s="7" t="s">
        <v>2230</v>
      </c>
      <c r="H40" s="7">
        <f t="shared" si="0"/>
        <v>2</v>
      </c>
    </row>
    <row r="41" spans="1:8" ht="25" customHeight="1" x14ac:dyDescent="0.35">
      <c r="A41" s="7" t="s">
        <v>2231</v>
      </c>
      <c r="B41" s="7" t="s">
        <v>2232</v>
      </c>
      <c r="C41" s="7" t="s">
        <v>4</v>
      </c>
      <c r="D41" s="7">
        <v>15</v>
      </c>
      <c r="E41" s="7" t="s">
        <v>5</v>
      </c>
      <c r="F41" s="7" t="s">
        <v>2233</v>
      </c>
      <c r="G41" s="7" t="s">
        <v>2234</v>
      </c>
      <c r="H41" s="7">
        <f t="shared" si="0"/>
        <v>1</v>
      </c>
    </row>
    <row r="42" spans="1:8" ht="25" customHeight="1" x14ac:dyDescent="0.35">
      <c r="A42" s="7" t="s">
        <v>2235</v>
      </c>
      <c r="B42" s="7" t="s">
        <v>2236</v>
      </c>
      <c r="C42" s="7" t="s">
        <v>4</v>
      </c>
      <c r="D42" s="7">
        <v>15</v>
      </c>
      <c r="E42" s="7" t="s">
        <v>5</v>
      </c>
      <c r="F42" s="7" t="s">
        <v>2237</v>
      </c>
      <c r="G42" s="7" t="s">
        <v>2238</v>
      </c>
      <c r="H42" s="7">
        <f t="shared" si="0"/>
        <v>1</v>
      </c>
    </row>
    <row r="43" spans="1:8" ht="25" customHeight="1" x14ac:dyDescent="0.35">
      <c r="A43" s="7" t="s">
        <v>2239</v>
      </c>
      <c r="B43" s="7" t="s">
        <v>2240</v>
      </c>
      <c r="C43" s="7" t="s">
        <v>4</v>
      </c>
      <c r="D43" s="7">
        <v>15</v>
      </c>
      <c r="E43" s="7" t="s">
        <v>5</v>
      </c>
      <c r="F43" s="7" t="s">
        <v>2237</v>
      </c>
      <c r="G43" s="7" t="s">
        <v>2238</v>
      </c>
      <c r="H43" s="7">
        <f t="shared" si="0"/>
        <v>1</v>
      </c>
    </row>
    <row r="44" spans="1:8" ht="25" customHeight="1" x14ac:dyDescent="0.35">
      <c r="A44" s="7" t="s">
        <v>1210</v>
      </c>
      <c r="B44" s="7" t="s">
        <v>1211</v>
      </c>
      <c r="C44" s="7" t="s">
        <v>4</v>
      </c>
      <c r="D44" s="7">
        <v>15</v>
      </c>
      <c r="E44" s="7" t="s">
        <v>5</v>
      </c>
      <c r="F44" s="7" t="s">
        <v>2241</v>
      </c>
      <c r="G44" s="7" t="s">
        <v>2242</v>
      </c>
      <c r="H44" s="7">
        <f t="shared" si="0"/>
        <v>1</v>
      </c>
    </row>
    <row r="45" spans="1:8" ht="25" customHeight="1" x14ac:dyDescent="0.35">
      <c r="A45" s="7" t="s">
        <v>1210</v>
      </c>
      <c r="B45" s="7" t="s">
        <v>1211</v>
      </c>
      <c r="C45" s="7" t="s">
        <v>4</v>
      </c>
      <c r="D45" s="7">
        <v>15</v>
      </c>
      <c r="E45" s="7" t="s">
        <v>5</v>
      </c>
      <c r="F45" s="7" t="s">
        <v>2241</v>
      </c>
      <c r="G45" s="7" t="s">
        <v>2242</v>
      </c>
      <c r="H45" s="7">
        <f t="shared" si="0"/>
        <v>1</v>
      </c>
    </row>
    <row r="46" spans="1:8" ht="25" customHeight="1" x14ac:dyDescent="0.35">
      <c r="A46" s="7" t="s">
        <v>989</v>
      </c>
      <c r="B46" s="7" t="s">
        <v>990</v>
      </c>
      <c r="C46" s="7" t="s">
        <v>4</v>
      </c>
      <c r="D46" s="7">
        <v>15</v>
      </c>
      <c r="E46" s="7" t="s">
        <v>5</v>
      </c>
      <c r="F46" s="7" t="s">
        <v>2243</v>
      </c>
      <c r="G46" s="7" t="s">
        <v>2244</v>
      </c>
      <c r="H46" s="7">
        <f t="shared" si="0"/>
        <v>1</v>
      </c>
    </row>
    <row r="47" spans="1:8" ht="25" customHeight="1" x14ac:dyDescent="0.35">
      <c r="A47" s="7" t="s">
        <v>1162</v>
      </c>
      <c r="B47" s="7" t="s">
        <v>1163</v>
      </c>
      <c r="C47" s="7" t="s">
        <v>4</v>
      </c>
      <c r="D47" s="7">
        <v>15</v>
      </c>
      <c r="E47" s="7" t="s">
        <v>5</v>
      </c>
      <c r="F47" s="7" t="s">
        <v>2245</v>
      </c>
      <c r="G47" s="7" t="s">
        <v>2246</v>
      </c>
      <c r="H47" s="7">
        <f t="shared" si="0"/>
        <v>1</v>
      </c>
    </row>
    <row r="48" spans="1:8" ht="25" customHeight="1" x14ac:dyDescent="0.35">
      <c r="A48" s="7" t="s">
        <v>2247</v>
      </c>
      <c r="B48" s="7" t="s">
        <v>2248</v>
      </c>
      <c r="C48" s="7" t="s">
        <v>4</v>
      </c>
      <c r="D48" s="7">
        <v>15</v>
      </c>
      <c r="E48" s="7" t="s">
        <v>5</v>
      </c>
      <c r="F48" s="7" t="s">
        <v>2249</v>
      </c>
      <c r="G48" s="7" t="s">
        <v>2250</v>
      </c>
      <c r="H48" s="7">
        <f t="shared" si="0"/>
        <v>1</v>
      </c>
    </row>
    <row r="49" spans="1:8" ht="25" customHeight="1" x14ac:dyDescent="0.35">
      <c r="A49" s="7" t="s">
        <v>831</v>
      </c>
      <c r="B49" s="7" t="s">
        <v>832</v>
      </c>
      <c r="C49" s="7" t="s">
        <v>4</v>
      </c>
      <c r="D49" s="7">
        <v>15</v>
      </c>
      <c r="E49" s="7" t="s">
        <v>5</v>
      </c>
      <c r="F49" s="7" t="s">
        <v>2251</v>
      </c>
      <c r="G49" s="7" t="s">
        <v>2252</v>
      </c>
      <c r="H49" s="7">
        <f t="shared" si="0"/>
        <v>1</v>
      </c>
    </row>
    <row r="50" spans="1:8" ht="25" customHeight="1" x14ac:dyDescent="0.35">
      <c r="A50" s="7" t="s">
        <v>2253</v>
      </c>
      <c r="B50" s="7" t="s">
        <v>2254</v>
      </c>
      <c r="C50" s="7" t="s">
        <v>4</v>
      </c>
      <c r="D50" s="7">
        <v>15</v>
      </c>
      <c r="E50" s="7" t="s">
        <v>5</v>
      </c>
      <c r="F50" s="7" t="s">
        <v>2255</v>
      </c>
      <c r="G50" s="7" t="s">
        <v>2256</v>
      </c>
      <c r="H50" s="7">
        <f t="shared" si="0"/>
        <v>1</v>
      </c>
    </row>
    <row r="51" spans="1:8" ht="25" customHeight="1" x14ac:dyDescent="0.35">
      <c r="A51" s="7" t="s">
        <v>2257</v>
      </c>
      <c r="B51" s="7" t="s">
        <v>2258</v>
      </c>
      <c r="C51" s="7" t="s">
        <v>4</v>
      </c>
      <c r="D51" s="7">
        <v>15</v>
      </c>
      <c r="E51" s="7" t="s">
        <v>5</v>
      </c>
      <c r="F51" s="7" t="s">
        <v>2259</v>
      </c>
      <c r="G51" s="7" t="s">
        <v>2260</v>
      </c>
      <c r="H51" s="7">
        <f t="shared" si="0"/>
        <v>1</v>
      </c>
    </row>
    <row r="52" spans="1:8" ht="25" customHeight="1" x14ac:dyDescent="0.35">
      <c r="A52" s="7" t="s">
        <v>2261</v>
      </c>
      <c r="B52" s="7" t="s">
        <v>2262</v>
      </c>
      <c r="C52" s="7" t="s">
        <v>4</v>
      </c>
      <c r="D52" s="7">
        <v>15</v>
      </c>
      <c r="E52" s="7" t="s">
        <v>5</v>
      </c>
      <c r="F52" s="7" t="s">
        <v>2263</v>
      </c>
      <c r="G52" s="7" t="s">
        <v>2264</v>
      </c>
      <c r="H52" s="7">
        <f t="shared" si="0"/>
        <v>1</v>
      </c>
    </row>
    <row r="53" spans="1:8" ht="25" customHeight="1" x14ac:dyDescent="0.35">
      <c r="A53" s="7" t="s">
        <v>2265</v>
      </c>
      <c r="B53" s="7" t="s">
        <v>2266</v>
      </c>
      <c r="C53" s="7" t="s">
        <v>4</v>
      </c>
      <c r="D53" s="7">
        <v>15</v>
      </c>
      <c r="E53" s="7" t="s">
        <v>5</v>
      </c>
      <c r="F53" s="7" t="s">
        <v>2263</v>
      </c>
      <c r="G53" s="7" t="s">
        <v>2264</v>
      </c>
      <c r="H53" s="7">
        <f t="shared" si="0"/>
        <v>1</v>
      </c>
    </row>
    <row r="54" spans="1:8" ht="25" customHeight="1" x14ac:dyDescent="0.35">
      <c r="A54" s="7" t="s">
        <v>2267</v>
      </c>
      <c r="B54" s="7" t="s">
        <v>2268</v>
      </c>
      <c r="C54" s="7" t="s">
        <v>4</v>
      </c>
      <c r="D54" s="7">
        <v>15</v>
      </c>
      <c r="E54" s="7" t="s">
        <v>5</v>
      </c>
      <c r="F54" s="7" t="s">
        <v>2269</v>
      </c>
      <c r="G54" s="7" t="s">
        <v>2270</v>
      </c>
      <c r="H54" s="7">
        <f t="shared" si="0"/>
        <v>1</v>
      </c>
    </row>
    <row r="55" spans="1:8" ht="25" customHeight="1" x14ac:dyDescent="0.35">
      <c r="A55" s="7" t="s">
        <v>2271</v>
      </c>
      <c r="B55" s="7" t="s">
        <v>2272</v>
      </c>
      <c r="C55" s="7" t="s">
        <v>4</v>
      </c>
      <c r="D55" s="7">
        <v>15</v>
      </c>
      <c r="E55" s="7" t="s">
        <v>5</v>
      </c>
      <c r="F55" s="7" t="s">
        <v>2269</v>
      </c>
      <c r="G55" s="7" t="s">
        <v>2270</v>
      </c>
      <c r="H55" s="7">
        <f t="shared" si="0"/>
        <v>1</v>
      </c>
    </row>
    <row r="56" spans="1:8" ht="25" customHeight="1" x14ac:dyDescent="0.35">
      <c r="A56" s="7" t="s">
        <v>715</v>
      </c>
      <c r="B56" s="7" t="s">
        <v>716</v>
      </c>
      <c r="C56" s="7" t="s">
        <v>4</v>
      </c>
      <c r="D56" s="7">
        <v>15</v>
      </c>
      <c r="E56" s="7" t="s">
        <v>5</v>
      </c>
      <c r="F56" s="7" t="s">
        <v>2273</v>
      </c>
      <c r="G56" s="7" t="s">
        <v>2274</v>
      </c>
      <c r="H56" s="7">
        <f t="shared" si="0"/>
        <v>1</v>
      </c>
    </row>
    <row r="57" spans="1:8" x14ac:dyDescent="0.35">
      <c r="G57" s="2" t="s">
        <v>3496</v>
      </c>
      <c r="H57" s="2">
        <f>SUM(H2:H56)</f>
        <v>72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>
    <oddFooter>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F176-6C4D-44B2-8074-4C5A4D41DD25}">
  <dimension ref="A1:H81"/>
  <sheetViews>
    <sheetView view="pageBreakPreview" topLeftCell="A69" zoomScale="85" zoomScaleNormal="85" zoomScaleSheetLayoutView="85" workbookViewId="0">
      <selection activeCell="H81" sqref="G81:H81"/>
    </sheetView>
  </sheetViews>
  <sheetFormatPr defaultColWidth="36.54296875" defaultRowHeight="16" x14ac:dyDescent="0.35"/>
  <cols>
    <col min="1" max="1" width="15.08984375" style="1" customWidth="1"/>
    <col min="2" max="2" width="44" style="1" customWidth="1"/>
    <col min="3" max="3" width="8.179687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12.54296875" style="1" bestFit="1" customWidth="1"/>
    <col min="8" max="8" width="7.906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2275</v>
      </c>
      <c r="C1" s="6" t="s">
        <v>3480</v>
      </c>
      <c r="D1" s="5" t="s">
        <v>3488</v>
      </c>
      <c r="E1" s="6" t="s">
        <v>3484</v>
      </c>
      <c r="F1" s="6" t="s">
        <v>3481</v>
      </c>
      <c r="G1" s="6" t="s">
        <v>3482</v>
      </c>
      <c r="H1" s="6" t="s">
        <v>3495</v>
      </c>
    </row>
    <row r="2" spans="1:8" ht="25" customHeight="1" x14ac:dyDescent="0.35">
      <c r="A2" s="7" t="s">
        <v>47</v>
      </c>
      <c r="B2" s="7" t="s">
        <v>48</v>
      </c>
      <c r="C2" s="7" t="s">
        <v>4</v>
      </c>
      <c r="D2" s="7">
        <v>20</v>
      </c>
      <c r="E2" s="7" t="s">
        <v>5</v>
      </c>
      <c r="F2" s="7" t="s">
        <v>2276</v>
      </c>
      <c r="G2" s="7" t="s">
        <v>2277</v>
      </c>
      <c r="H2" s="7">
        <f>D2/20</f>
        <v>1</v>
      </c>
    </row>
    <row r="3" spans="1:8" ht="25" customHeight="1" x14ac:dyDescent="0.35">
      <c r="A3" s="7" t="s">
        <v>2278</v>
      </c>
      <c r="B3" s="7" t="s">
        <v>2279</v>
      </c>
      <c r="C3" s="7" t="s">
        <v>4</v>
      </c>
      <c r="D3" s="7">
        <v>20</v>
      </c>
      <c r="E3" s="7" t="s">
        <v>5</v>
      </c>
      <c r="F3" s="7" t="s">
        <v>2280</v>
      </c>
      <c r="G3" s="7" t="s">
        <v>2281</v>
      </c>
      <c r="H3" s="7">
        <f t="shared" ref="H3:H66" si="0">D3/20</f>
        <v>1</v>
      </c>
    </row>
    <row r="4" spans="1:8" ht="25" customHeight="1" x14ac:dyDescent="0.35">
      <c r="A4" s="7" t="s">
        <v>929</v>
      </c>
      <c r="B4" s="7" t="s">
        <v>930</v>
      </c>
      <c r="C4" s="7" t="s">
        <v>4</v>
      </c>
      <c r="D4" s="7">
        <v>20</v>
      </c>
      <c r="E4" s="7" t="s">
        <v>5</v>
      </c>
      <c r="F4" s="7" t="s">
        <v>2282</v>
      </c>
      <c r="G4" s="7" t="s">
        <v>2283</v>
      </c>
      <c r="H4" s="7">
        <f t="shared" si="0"/>
        <v>1</v>
      </c>
    </row>
    <row r="5" spans="1:8" ht="25" customHeight="1" x14ac:dyDescent="0.35">
      <c r="A5" s="7" t="s">
        <v>2284</v>
      </c>
      <c r="B5" s="7" t="s">
        <v>2285</v>
      </c>
      <c r="C5" s="7" t="s">
        <v>4</v>
      </c>
      <c r="D5" s="7">
        <v>20</v>
      </c>
      <c r="E5" s="7" t="s">
        <v>5</v>
      </c>
      <c r="F5" s="7" t="s">
        <v>2286</v>
      </c>
      <c r="G5" s="7" t="s">
        <v>2287</v>
      </c>
      <c r="H5" s="7">
        <f t="shared" si="0"/>
        <v>1</v>
      </c>
    </row>
    <row r="6" spans="1:8" ht="25" customHeight="1" x14ac:dyDescent="0.35">
      <c r="A6" s="7" t="s">
        <v>2288</v>
      </c>
      <c r="B6" s="7" t="s">
        <v>2289</v>
      </c>
      <c r="C6" s="7" t="s">
        <v>53</v>
      </c>
      <c r="D6" s="7">
        <v>20</v>
      </c>
      <c r="E6" s="7" t="s">
        <v>5</v>
      </c>
      <c r="F6" s="7" t="s">
        <v>2290</v>
      </c>
      <c r="G6" s="7" t="s">
        <v>2291</v>
      </c>
      <c r="H6" s="7">
        <f t="shared" si="0"/>
        <v>1</v>
      </c>
    </row>
    <row r="7" spans="1:8" ht="25" customHeight="1" x14ac:dyDescent="0.35">
      <c r="A7" s="7" t="s">
        <v>2292</v>
      </c>
      <c r="B7" s="7" t="s">
        <v>2293</v>
      </c>
      <c r="C7" s="7" t="s">
        <v>4</v>
      </c>
      <c r="D7" s="7">
        <v>200</v>
      </c>
      <c r="E7" s="7" t="s">
        <v>5</v>
      </c>
      <c r="F7" s="7" t="s">
        <v>2294</v>
      </c>
      <c r="G7" s="7" t="s">
        <v>2295</v>
      </c>
      <c r="H7" s="7">
        <f t="shared" si="0"/>
        <v>10</v>
      </c>
    </row>
    <row r="8" spans="1:8" ht="25" customHeight="1" x14ac:dyDescent="0.35">
      <c r="A8" s="7" t="s">
        <v>2296</v>
      </c>
      <c r="B8" s="7" t="s">
        <v>2297</v>
      </c>
      <c r="C8" s="7" t="s">
        <v>4</v>
      </c>
      <c r="D8" s="7">
        <v>40</v>
      </c>
      <c r="E8" s="7" t="s">
        <v>5</v>
      </c>
      <c r="F8" s="7" t="s">
        <v>2298</v>
      </c>
      <c r="G8" s="7" t="s">
        <v>2299</v>
      </c>
      <c r="H8" s="7">
        <f t="shared" si="0"/>
        <v>2</v>
      </c>
    </row>
    <row r="9" spans="1:8" ht="25" customHeight="1" x14ac:dyDescent="0.35">
      <c r="A9" s="7" t="s">
        <v>2300</v>
      </c>
      <c r="B9" s="7" t="s">
        <v>2301</v>
      </c>
      <c r="C9" s="7" t="s">
        <v>53</v>
      </c>
      <c r="D9" s="7">
        <v>40</v>
      </c>
      <c r="E9" s="7" t="s">
        <v>5</v>
      </c>
      <c r="F9" s="7" t="s">
        <v>1610</v>
      </c>
      <c r="G9" s="7" t="s">
        <v>2302</v>
      </c>
      <c r="H9" s="7">
        <f t="shared" si="0"/>
        <v>2</v>
      </c>
    </row>
    <row r="10" spans="1:8" ht="25" customHeight="1" x14ac:dyDescent="0.35">
      <c r="A10" s="7" t="s">
        <v>98</v>
      </c>
      <c r="B10" s="7" t="s">
        <v>99</v>
      </c>
      <c r="C10" s="7" t="s">
        <v>53</v>
      </c>
      <c r="D10" s="7">
        <v>20</v>
      </c>
      <c r="E10" s="7" t="s">
        <v>5</v>
      </c>
      <c r="F10" s="7" t="s">
        <v>1975</v>
      </c>
      <c r="G10" s="7" t="s">
        <v>2303</v>
      </c>
      <c r="H10" s="7">
        <f t="shared" si="0"/>
        <v>1</v>
      </c>
    </row>
    <row r="11" spans="1:8" ht="25" customHeight="1" x14ac:dyDescent="0.35">
      <c r="A11" s="7" t="s">
        <v>2304</v>
      </c>
      <c r="B11" s="7" t="s">
        <v>2305</v>
      </c>
      <c r="C11" s="7" t="s">
        <v>4</v>
      </c>
      <c r="D11" s="7">
        <v>20</v>
      </c>
      <c r="E11" s="7" t="s">
        <v>5</v>
      </c>
      <c r="F11" s="7" t="s">
        <v>1327</v>
      </c>
      <c r="G11" s="7" t="s">
        <v>2306</v>
      </c>
      <c r="H11" s="7">
        <f t="shared" si="0"/>
        <v>1</v>
      </c>
    </row>
    <row r="12" spans="1:8" ht="25" customHeight="1" x14ac:dyDescent="0.35">
      <c r="A12" s="7" t="s">
        <v>2307</v>
      </c>
      <c r="B12" s="7" t="s">
        <v>2308</v>
      </c>
      <c r="C12" s="7" t="s">
        <v>4</v>
      </c>
      <c r="D12" s="7">
        <v>20</v>
      </c>
      <c r="E12" s="7" t="s">
        <v>5</v>
      </c>
      <c r="F12" s="7" t="s">
        <v>2309</v>
      </c>
      <c r="G12" s="7" t="s">
        <v>2310</v>
      </c>
      <c r="H12" s="7">
        <f t="shared" si="0"/>
        <v>1</v>
      </c>
    </row>
    <row r="13" spans="1:8" ht="25" customHeight="1" x14ac:dyDescent="0.35">
      <c r="A13" s="7" t="s">
        <v>2311</v>
      </c>
      <c r="B13" s="7" t="s">
        <v>2312</v>
      </c>
      <c r="C13" s="7" t="s">
        <v>4</v>
      </c>
      <c r="D13" s="7">
        <v>20</v>
      </c>
      <c r="E13" s="7" t="s">
        <v>5</v>
      </c>
      <c r="F13" s="7" t="s">
        <v>2313</v>
      </c>
      <c r="G13" s="7" t="s">
        <v>2314</v>
      </c>
      <c r="H13" s="7">
        <f t="shared" si="0"/>
        <v>1</v>
      </c>
    </row>
    <row r="14" spans="1:8" ht="25" customHeight="1" x14ac:dyDescent="0.35">
      <c r="A14" s="7" t="s">
        <v>600</v>
      </c>
      <c r="B14" s="7" t="s">
        <v>601</v>
      </c>
      <c r="C14" s="7" t="s">
        <v>53</v>
      </c>
      <c r="D14" s="7">
        <v>20</v>
      </c>
      <c r="E14" s="7" t="s">
        <v>5</v>
      </c>
      <c r="F14" s="7" t="s">
        <v>2315</v>
      </c>
      <c r="G14" s="7" t="s">
        <v>2316</v>
      </c>
      <c r="H14" s="7">
        <f t="shared" si="0"/>
        <v>1</v>
      </c>
    </row>
    <row r="15" spans="1:8" ht="25" customHeight="1" x14ac:dyDescent="0.35">
      <c r="A15" s="7" t="s">
        <v>1977</v>
      </c>
      <c r="B15" s="7" t="s">
        <v>1978</v>
      </c>
      <c r="C15" s="7" t="s">
        <v>4</v>
      </c>
      <c r="D15" s="7">
        <v>20</v>
      </c>
      <c r="E15" s="7" t="s">
        <v>5</v>
      </c>
      <c r="F15" s="7" t="s">
        <v>2317</v>
      </c>
      <c r="G15" s="7" t="s">
        <v>2318</v>
      </c>
      <c r="H15" s="7">
        <f t="shared" si="0"/>
        <v>1</v>
      </c>
    </row>
    <row r="16" spans="1:8" ht="25" customHeight="1" x14ac:dyDescent="0.35">
      <c r="A16" s="7" t="s">
        <v>2319</v>
      </c>
      <c r="B16" s="7" t="s">
        <v>2320</v>
      </c>
      <c r="C16" s="7" t="s">
        <v>53</v>
      </c>
      <c r="D16" s="7">
        <v>20</v>
      </c>
      <c r="E16" s="7" t="s">
        <v>5</v>
      </c>
      <c r="F16" s="7" t="s">
        <v>2321</v>
      </c>
      <c r="G16" s="7" t="s">
        <v>2322</v>
      </c>
      <c r="H16" s="7">
        <f t="shared" si="0"/>
        <v>1</v>
      </c>
    </row>
    <row r="17" spans="1:8" ht="25" customHeight="1" x14ac:dyDescent="0.35">
      <c r="A17" s="7" t="s">
        <v>204</v>
      </c>
      <c r="B17" s="7" t="s">
        <v>205</v>
      </c>
      <c r="C17" s="7" t="s">
        <v>53</v>
      </c>
      <c r="D17" s="7">
        <v>20</v>
      </c>
      <c r="E17" s="7" t="s">
        <v>5</v>
      </c>
      <c r="F17" s="7" t="s">
        <v>1640</v>
      </c>
      <c r="G17" s="7" t="s">
        <v>2323</v>
      </c>
      <c r="H17" s="7">
        <f t="shared" si="0"/>
        <v>1</v>
      </c>
    </row>
    <row r="18" spans="1:8" ht="25" customHeight="1" x14ac:dyDescent="0.35">
      <c r="A18" s="7" t="s">
        <v>2324</v>
      </c>
      <c r="B18" s="7" t="s">
        <v>2325</v>
      </c>
      <c r="C18" s="7" t="s">
        <v>53</v>
      </c>
      <c r="D18" s="7">
        <v>60</v>
      </c>
      <c r="E18" s="7" t="s">
        <v>5</v>
      </c>
      <c r="F18" s="7" t="s">
        <v>2326</v>
      </c>
      <c r="G18" s="7" t="s">
        <v>2327</v>
      </c>
      <c r="H18" s="7">
        <f t="shared" si="0"/>
        <v>3</v>
      </c>
    </row>
    <row r="19" spans="1:8" ht="25" customHeight="1" x14ac:dyDescent="0.35">
      <c r="A19" s="7" t="s">
        <v>1098</v>
      </c>
      <c r="B19" s="7" t="s">
        <v>1099</v>
      </c>
      <c r="C19" s="7" t="s">
        <v>53</v>
      </c>
      <c r="D19" s="7">
        <v>60</v>
      </c>
      <c r="E19" s="7" t="s">
        <v>5</v>
      </c>
      <c r="F19" s="7" t="s">
        <v>2328</v>
      </c>
      <c r="G19" s="7" t="s">
        <v>2329</v>
      </c>
      <c r="H19" s="7">
        <f t="shared" si="0"/>
        <v>3</v>
      </c>
    </row>
    <row r="20" spans="1:8" ht="25" customHeight="1" x14ac:dyDescent="0.35">
      <c r="A20" s="7" t="s">
        <v>554</v>
      </c>
      <c r="B20" s="7" t="s">
        <v>555</v>
      </c>
      <c r="C20" s="7" t="s">
        <v>53</v>
      </c>
      <c r="D20" s="7">
        <v>200</v>
      </c>
      <c r="E20" s="7" t="s">
        <v>5</v>
      </c>
      <c r="F20" s="7" t="s">
        <v>2330</v>
      </c>
      <c r="G20" s="7" t="s">
        <v>2331</v>
      </c>
      <c r="H20" s="7">
        <f t="shared" si="0"/>
        <v>10</v>
      </c>
    </row>
    <row r="21" spans="1:8" ht="25" customHeight="1" x14ac:dyDescent="0.35">
      <c r="A21" s="7" t="s">
        <v>428</v>
      </c>
      <c r="B21" s="7" t="s">
        <v>429</v>
      </c>
      <c r="C21" s="7" t="s">
        <v>53</v>
      </c>
      <c r="D21" s="7">
        <v>200</v>
      </c>
      <c r="E21" s="7" t="s">
        <v>5</v>
      </c>
      <c r="F21" s="7" t="s">
        <v>2332</v>
      </c>
      <c r="G21" s="7" t="s">
        <v>2333</v>
      </c>
      <c r="H21" s="7">
        <f t="shared" si="0"/>
        <v>10</v>
      </c>
    </row>
    <row r="22" spans="1:8" ht="25" customHeight="1" x14ac:dyDescent="0.35">
      <c r="A22" s="7" t="s">
        <v>80</v>
      </c>
      <c r="B22" s="7" t="s">
        <v>81</v>
      </c>
      <c r="C22" s="7" t="s">
        <v>53</v>
      </c>
      <c r="D22" s="7">
        <v>200</v>
      </c>
      <c r="E22" s="7" t="s">
        <v>5</v>
      </c>
      <c r="F22" s="7" t="s">
        <v>2334</v>
      </c>
      <c r="G22" s="7" t="s">
        <v>2335</v>
      </c>
      <c r="H22" s="7">
        <f t="shared" si="0"/>
        <v>10</v>
      </c>
    </row>
    <row r="23" spans="1:8" ht="25" customHeight="1" x14ac:dyDescent="0.35">
      <c r="A23" s="7" t="s">
        <v>2336</v>
      </c>
      <c r="B23" s="7" t="s">
        <v>2337</v>
      </c>
      <c r="C23" s="7" t="s">
        <v>4</v>
      </c>
      <c r="D23" s="7">
        <v>40</v>
      </c>
      <c r="E23" s="7" t="s">
        <v>5</v>
      </c>
      <c r="F23" s="7" t="s">
        <v>2338</v>
      </c>
      <c r="G23" s="7" t="s">
        <v>2339</v>
      </c>
      <c r="H23" s="7">
        <f t="shared" si="0"/>
        <v>2</v>
      </c>
    </row>
    <row r="24" spans="1:8" ht="25" customHeight="1" x14ac:dyDescent="0.35">
      <c r="A24" s="7" t="s">
        <v>2340</v>
      </c>
      <c r="B24" s="7" t="s">
        <v>2341</v>
      </c>
      <c r="C24" s="7" t="s">
        <v>4</v>
      </c>
      <c r="D24" s="7">
        <v>20</v>
      </c>
      <c r="E24" s="7" t="s">
        <v>5</v>
      </c>
      <c r="F24" s="7" t="s">
        <v>2342</v>
      </c>
      <c r="G24" s="7" t="s">
        <v>2343</v>
      </c>
      <c r="H24" s="7">
        <f t="shared" si="0"/>
        <v>1</v>
      </c>
    </row>
    <row r="25" spans="1:8" ht="25" customHeight="1" x14ac:dyDescent="0.35">
      <c r="A25" s="7" t="s">
        <v>2344</v>
      </c>
      <c r="B25" s="7" t="s">
        <v>2345</v>
      </c>
      <c r="C25" s="7" t="s">
        <v>4</v>
      </c>
      <c r="D25" s="7">
        <v>20</v>
      </c>
      <c r="E25" s="7" t="s">
        <v>5</v>
      </c>
      <c r="F25" s="7" t="s">
        <v>2346</v>
      </c>
      <c r="G25" s="7" t="s">
        <v>2347</v>
      </c>
      <c r="H25" s="7">
        <f t="shared" si="0"/>
        <v>1</v>
      </c>
    </row>
    <row r="26" spans="1:8" ht="25" customHeight="1" x14ac:dyDescent="0.35">
      <c r="A26" s="7" t="s">
        <v>584</v>
      </c>
      <c r="B26" s="7" t="s">
        <v>585</v>
      </c>
      <c r="C26" s="7" t="s">
        <v>4</v>
      </c>
      <c r="D26" s="7">
        <v>40</v>
      </c>
      <c r="E26" s="7" t="s">
        <v>5</v>
      </c>
      <c r="F26" s="7" t="s">
        <v>2348</v>
      </c>
      <c r="G26" s="7" t="s">
        <v>2349</v>
      </c>
      <c r="H26" s="7">
        <f t="shared" si="0"/>
        <v>2</v>
      </c>
    </row>
    <row r="27" spans="1:8" ht="25" customHeight="1" x14ac:dyDescent="0.35">
      <c r="A27" s="7" t="s">
        <v>2336</v>
      </c>
      <c r="B27" s="7" t="s">
        <v>2337</v>
      </c>
      <c r="C27" s="7" t="s">
        <v>4</v>
      </c>
      <c r="D27" s="7">
        <v>20</v>
      </c>
      <c r="E27" s="7" t="s">
        <v>5</v>
      </c>
      <c r="F27" s="7" t="s">
        <v>2338</v>
      </c>
      <c r="G27" s="7" t="s">
        <v>2350</v>
      </c>
      <c r="H27" s="7">
        <f t="shared" si="0"/>
        <v>1</v>
      </c>
    </row>
    <row r="28" spans="1:8" ht="25" customHeight="1" x14ac:dyDescent="0.35">
      <c r="A28" s="7" t="s">
        <v>2110</v>
      </c>
      <c r="B28" s="7" t="s">
        <v>2111</v>
      </c>
      <c r="C28" s="7" t="s">
        <v>4</v>
      </c>
      <c r="D28" s="7">
        <v>20</v>
      </c>
      <c r="E28" s="7" t="s">
        <v>5</v>
      </c>
      <c r="F28" s="7" t="s">
        <v>2351</v>
      </c>
      <c r="G28" s="7" t="s">
        <v>2352</v>
      </c>
      <c r="H28" s="7">
        <f t="shared" si="0"/>
        <v>1</v>
      </c>
    </row>
    <row r="29" spans="1:8" ht="25" customHeight="1" x14ac:dyDescent="0.35">
      <c r="A29" s="7" t="s">
        <v>2353</v>
      </c>
      <c r="B29" s="7" t="s">
        <v>2354</v>
      </c>
      <c r="C29" s="7" t="s">
        <v>4</v>
      </c>
      <c r="D29" s="7">
        <v>20</v>
      </c>
      <c r="E29" s="7" t="s">
        <v>5</v>
      </c>
      <c r="F29" s="7" t="s">
        <v>2351</v>
      </c>
      <c r="G29" s="7" t="s">
        <v>2352</v>
      </c>
      <c r="H29" s="7">
        <f t="shared" si="0"/>
        <v>1</v>
      </c>
    </row>
    <row r="30" spans="1:8" ht="25" customHeight="1" x14ac:dyDescent="0.35">
      <c r="A30" s="7" t="s">
        <v>762</v>
      </c>
      <c r="B30" s="7" t="s">
        <v>763</v>
      </c>
      <c r="C30" s="7" t="s">
        <v>4</v>
      </c>
      <c r="D30" s="7">
        <v>20</v>
      </c>
      <c r="E30" s="7" t="s">
        <v>5</v>
      </c>
      <c r="F30" s="7" t="s">
        <v>2355</v>
      </c>
      <c r="G30" s="7" t="s">
        <v>2356</v>
      </c>
      <c r="H30" s="7">
        <f t="shared" si="0"/>
        <v>1</v>
      </c>
    </row>
    <row r="31" spans="1:8" ht="25" customHeight="1" x14ac:dyDescent="0.35">
      <c r="A31" s="7" t="s">
        <v>2357</v>
      </c>
      <c r="B31" s="7" t="s">
        <v>2358</v>
      </c>
      <c r="C31" s="7" t="s">
        <v>4</v>
      </c>
      <c r="D31" s="7">
        <v>20</v>
      </c>
      <c r="E31" s="7" t="s">
        <v>5</v>
      </c>
      <c r="F31" s="7" t="s">
        <v>2273</v>
      </c>
      <c r="G31" s="7" t="s">
        <v>2359</v>
      </c>
      <c r="H31" s="7">
        <f t="shared" si="0"/>
        <v>1</v>
      </c>
    </row>
    <row r="32" spans="1:8" ht="25" customHeight="1" x14ac:dyDescent="0.35">
      <c r="A32" s="7" t="s">
        <v>2360</v>
      </c>
      <c r="B32" s="7" t="s">
        <v>2361</v>
      </c>
      <c r="C32" s="7" t="s">
        <v>4</v>
      </c>
      <c r="D32" s="7">
        <v>20</v>
      </c>
      <c r="E32" s="7" t="s">
        <v>5</v>
      </c>
      <c r="F32" s="7" t="s">
        <v>2362</v>
      </c>
      <c r="G32" s="7" t="s">
        <v>2363</v>
      </c>
      <c r="H32" s="7">
        <f t="shared" si="0"/>
        <v>1</v>
      </c>
    </row>
    <row r="33" spans="1:8" ht="25" customHeight="1" x14ac:dyDescent="0.35">
      <c r="A33" s="7" t="s">
        <v>2364</v>
      </c>
      <c r="B33" s="7" t="s">
        <v>2365</v>
      </c>
      <c r="C33" s="7" t="s">
        <v>4</v>
      </c>
      <c r="D33" s="7">
        <v>40</v>
      </c>
      <c r="E33" s="7" t="s">
        <v>5</v>
      </c>
      <c r="F33" s="7" t="s">
        <v>726</v>
      </c>
      <c r="G33" s="7" t="s">
        <v>2366</v>
      </c>
      <c r="H33" s="7">
        <f t="shared" si="0"/>
        <v>2</v>
      </c>
    </row>
    <row r="34" spans="1:8" ht="25" customHeight="1" x14ac:dyDescent="0.35">
      <c r="A34" s="7" t="s">
        <v>981</v>
      </c>
      <c r="B34" s="7" t="s">
        <v>982</v>
      </c>
      <c r="C34" s="7" t="s">
        <v>4</v>
      </c>
      <c r="D34" s="7">
        <v>40</v>
      </c>
      <c r="E34" s="7" t="s">
        <v>5</v>
      </c>
      <c r="F34" s="7" t="s">
        <v>2367</v>
      </c>
      <c r="G34" s="7" t="s">
        <v>2368</v>
      </c>
      <c r="H34" s="7">
        <f t="shared" si="0"/>
        <v>2</v>
      </c>
    </row>
    <row r="35" spans="1:8" ht="25" customHeight="1" x14ac:dyDescent="0.35">
      <c r="A35" s="7" t="s">
        <v>1079</v>
      </c>
      <c r="B35" s="7" t="s">
        <v>1080</v>
      </c>
      <c r="C35" s="7" t="s">
        <v>53</v>
      </c>
      <c r="D35" s="7">
        <v>20</v>
      </c>
      <c r="E35" s="7" t="s">
        <v>5</v>
      </c>
      <c r="F35" s="7" t="s">
        <v>2369</v>
      </c>
      <c r="G35" s="7" t="s">
        <v>2370</v>
      </c>
      <c r="H35" s="7">
        <f t="shared" si="0"/>
        <v>1</v>
      </c>
    </row>
    <row r="36" spans="1:8" ht="25" customHeight="1" x14ac:dyDescent="0.35">
      <c r="A36" s="7" t="s">
        <v>1081</v>
      </c>
      <c r="B36" s="7" t="s">
        <v>1082</v>
      </c>
      <c r="C36" s="7" t="s">
        <v>53</v>
      </c>
      <c r="D36" s="7">
        <v>20</v>
      </c>
      <c r="E36" s="7" t="s">
        <v>5</v>
      </c>
      <c r="F36" s="7" t="s">
        <v>2369</v>
      </c>
      <c r="G36" s="7" t="s">
        <v>2370</v>
      </c>
      <c r="H36" s="7">
        <f t="shared" si="0"/>
        <v>1</v>
      </c>
    </row>
    <row r="37" spans="1:8" ht="25" customHeight="1" x14ac:dyDescent="0.35">
      <c r="A37" s="7" t="s">
        <v>1271</v>
      </c>
      <c r="B37" s="7" t="s">
        <v>1272</v>
      </c>
      <c r="C37" s="7" t="s">
        <v>53</v>
      </c>
      <c r="D37" s="7">
        <v>20</v>
      </c>
      <c r="E37" s="7" t="s">
        <v>5</v>
      </c>
      <c r="F37" s="7" t="s">
        <v>2371</v>
      </c>
      <c r="G37" s="7" t="s">
        <v>2372</v>
      </c>
      <c r="H37" s="7">
        <f t="shared" si="0"/>
        <v>1</v>
      </c>
    </row>
    <row r="38" spans="1:8" ht="25" customHeight="1" x14ac:dyDescent="0.35">
      <c r="A38" s="7" t="s">
        <v>2079</v>
      </c>
      <c r="B38" s="7" t="s">
        <v>2080</v>
      </c>
      <c r="C38" s="7" t="s">
        <v>53</v>
      </c>
      <c r="D38" s="7">
        <v>20</v>
      </c>
      <c r="E38" s="7" t="s">
        <v>5</v>
      </c>
      <c r="F38" s="7" t="s">
        <v>2371</v>
      </c>
      <c r="G38" s="7" t="s">
        <v>2372</v>
      </c>
      <c r="H38" s="7">
        <f t="shared" si="0"/>
        <v>1</v>
      </c>
    </row>
    <row r="39" spans="1:8" ht="25" customHeight="1" x14ac:dyDescent="0.35">
      <c r="A39" s="7" t="s">
        <v>2373</v>
      </c>
      <c r="B39" s="7" t="s">
        <v>2374</v>
      </c>
      <c r="C39" s="7" t="s">
        <v>4</v>
      </c>
      <c r="D39" s="7">
        <v>20</v>
      </c>
      <c r="E39" s="7" t="s">
        <v>5</v>
      </c>
      <c r="F39" s="7" t="s">
        <v>2375</v>
      </c>
      <c r="G39" s="7" t="s">
        <v>2376</v>
      </c>
      <c r="H39" s="7">
        <f t="shared" si="0"/>
        <v>1</v>
      </c>
    </row>
    <row r="40" spans="1:8" ht="25" customHeight="1" x14ac:dyDescent="0.35">
      <c r="A40" s="7" t="s">
        <v>2377</v>
      </c>
      <c r="B40" s="7" t="s">
        <v>2378</v>
      </c>
      <c r="C40" s="7" t="s">
        <v>4</v>
      </c>
      <c r="D40" s="7">
        <v>20</v>
      </c>
      <c r="E40" s="7" t="s">
        <v>5</v>
      </c>
      <c r="F40" s="7" t="s">
        <v>2379</v>
      </c>
      <c r="G40" s="7" t="s">
        <v>2380</v>
      </c>
      <c r="H40" s="7">
        <f t="shared" si="0"/>
        <v>1</v>
      </c>
    </row>
    <row r="41" spans="1:8" ht="25" customHeight="1" x14ac:dyDescent="0.35">
      <c r="A41" s="7" t="s">
        <v>2381</v>
      </c>
      <c r="B41" s="7" t="s">
        <v>2382</v>
      </c>
      <c r="C41" s="7" t="s">
        <v>4</v>
      </c>
      <c r="D41" s="7">
        <v>20</v>
      </c>
      <c r="E41" s="7" t="s">
        <v>5</v>
      </c>
      <c r="F41" s="7" t="s">
        <v>2383</v>
      </c>
      <c r="G41" s="7" t="s">
        <v>2384</v>
      </c>
      <c r="H41" s="7">
        <f t="shared" si="0"/>
        <v>1</v>
      </c>
    </row>
    <row r="42" spans="1:8" ht="25" customHeight="1" x14ac:dyDescent="0.35">
      <c r="A42" s="7" t="s">
        <v>2385</v>
      </c>
      <c r="B42" s="7" t="s">
        <v>2386</v>
      </c>
      <c r="C42" s="7" t="s">
        <v>4</v>
      </c>
      <c r="D42" s="7">
        <v>20</v>
      </c>
      <c r="E42" s="7" t="s">
        <v>5</v>
      </c>
      <c r="F42" s="7" t="s">
        <v>2387</v>
      </c>
      <c r="G42" s="7" t="s">
        <v>2388</v>
      </c>
      <c r="H42" s="7">
        <f t="shared" si="0"/>
        <v>1</v>
      </c>
    </row>
    <row r="43" spans="1:8" ht="25" customHeight="1" x14ac:dyDescent="0.35">
      <c r="A43" s="7" t="s">
        <v>2389</v>
      </c>
      <c r="B43" s="7" t="s">
        <v>2390</v>
      </c>
      <c r="C43" s="7" t="s">
        <v>4</v>
      </c>
      <c r="D43" s="7">
        <v>20</v>
      </c>
      <c r="E43" s="7" t="s">
        <v>5</v>
      </c>
      <c r="F43" s="7" t="s">
        <v>2383</v>
      </c>
      <c r="G43" s="7" t="s">
        <v>2384</v>
      </c>
      <c r="H43" s="7">
        <f t="shared" si="0"/>
        <v>1</v>
      </c>
    </row>
    <row r="44" spans="1:8" ht="25" customHeight="1" x14ac:dyDescent="0.35">
      <c r="A44" s="7" t="s">
        <v>2391</v>
      </c>
      <c r="B44" s="7" t="s">
        <v>2392</v>
      </c>
      <c r="C44" s="7" t="s">
        <v>4</v>
      </c>
      <c r="D44" s="7">
        <v>20</v>
      </c>
      <c r="E44" s="7" t="s">
        <v>5</v>
      </c>
      <c r="F44" s="7" t="s">
        <v>2387</v>
      </c>
      <c r="G44" s="7" t="s">
        <v>2388</v>
      </c>
      <c r="H44" s="7">
        <f t="shared" si="0"/>
        <v>1</v>
      </c>
    </row>
    <row r="45" spans="1:8" ht="25" customHeight="1" x14ac:dyDescent="0.35">
      <c r="A45" s="7" t="s">
        <v>2393</v>
      </c>
      <c r="B45" s="7" t="s">
        <v>2394</v>
      </c>
      <c r="C45" s="7" t="s">
        <v>4</v>
      </c>
      <c r="D45" s="7">
        <v>20</v>
      </c>
      <c r="E45" s="7" t="s">
        <v>5</v>
      </c>
      <c r="F45" s="7" t="s">
        <v>2383</v>
      </c>
      <c r="G45" s="7" t="s">
        <v>2384</v>
      </c>
      <c r="H45" s="7">
        <f t="shared" si="0"/>
        <v>1</v>
      </c>
    </row>
    <row r="46" spans="1:8" ht="25" customHeight="1" x14ac:dyDescent="0.35">
      <c r="A46" s="7" t="s">
        <v>2395</v>
      </c>
      <c r="B46" s="7" t="s">
        <v>2396</v>
      </c>
      <c r="C46" s="7" t="s">
        <v>4</v>
      </c>
      <c r="D46" s="7">
        <v>20</v>
      </c>
      <c r="E46" s="7" t="s">
        <v>5</v>
      </c>
      <c r="F46" s="7" t="s">
        <v>2387</v>
      </c>
      <c r="G46" s="7" t="s">
        <v>2388</v>
      </c>
      <c r="H46" s="7">
        <f t="shared" si="0"/>
        <v>1</v>
      </c>
    </row>
    <row r="47" spans="1:8" ht="25" customHeight="1" x14ac:dyDescent="0.35">
      <c r="A47" s="7" t="s">
        <v>2397</v>
      </c>
      <c r="B47" s="7" t="s">
        <v>2398</v>
      </c>
      <c r="C47" s="7" t="s">
        <v>4</v>
      </c>
      <c r="D47" s="7">
        <v>20</v>
      </c>
      <c r="E47" s="7" t="s">
        <v>5</v>
      </c>
      <c r="F47" s="7" t="s">
        <v>2383</v>
      </c>
      <c r="G47" s="7" t="s">
        <v>2384</v>
      </c>
      <c r="H47" s="7">
        <f t="shared" si="0"/>
        <v>1</v>
      </c>
    </row>
    <row r="48" spans="1:8" ht="25" customHeight="1" x14ac:dyDescent="0.35">
      <c r="A48" s="7" t="s">
        <v>2399</v>
      </c>
      <c r="B48" s="7" t="s">
        <v>2400</v>
      </c>
      <c r="C48" s="7" t="s">
        <v>4</v>
      </c>
      <c r="D48" s="7">
        <v>20</v>
      </c>
      <c r="E48" s="7" t="s">
        <v>5</v>
      </c>
      <c r="F48" s="7" t="s">
        <v>2387</v>
      </c>
      <c r="G48" s="7" t="s">
        <v>2388</v>
      </c>
      <c r="H48" s="7">
        <f t="shared" si="0"/>
        <v>1</v>
      </c>
    </row>
    <row r="49" spans="1:8" ht="25" customHeight="1" x14ac:dyDescent="0.35">
      <c r="A49" s="7" t="s">
        <v>2401</v>
      </c>
      <c r="B49" s="7" t="s">
        <v>2402</v>
      </c>
      <c r="C49" s="7" t="s">
        <v>4</v>
      </c>
      <c r="D49" s="7">
        <v>20</v>
      </c>
      <c r="E49" s="7" t="s">
        <v>5</v>
      </c>
      <c r="F49" s="7" t="s">
        <v>2403</v>
      </c>
      <c r="G49" s="7" t="s">
        <v>2404</v>
      </c>
      <c r="H49" s="7">
        <f t="shared" si="0"/>
        <v>1</v>
      </c>
    </row>
    <row r="50" spans="1:8" ht="25" customHeight="1" x14ac:dyDescent="0.35">
      <c r="A50" s="7" t="s">
        <v>2405</v>
      </c>
      <c r="B50" s="7" t="s">
        <v>2406</v>
      </c>
      <c r="C50" s="7" t="s">
        <v>4</v>
      </c>
      <c r="D50" s="7">
        <v>20</v>
      </c>
      <c r="E50" s="7" t="s">
        <v>5</v>
      </c>
      <c r="F50" s="7" t="s">
        <v>2407</v>
      </c>
      <c r="G50" s="7" t="s">
        <v>2408</v>
      </c>
      <c r="H50" s="7">
        <f t="shared" si="0"/>
        <v>1</v>
      </c>
    </row>
    <row r="51" spans="1:8" ht="25" customHeight="1" x14ac:dyDescent="0.35">
      <c r="A51" s="7" t="s">
        <v>2409</v>
      </c>
      <c r="B51" s="7" t="s">
        <v>2410</v>
      </c>
      <c r="C51" s="7" t="s">
        <v>4</v>
      </c>
      <c r="D51" s="7">
        <v>20</v>
      </c>
      <c r="E51" s="7" t="s">
        <v>5</v>
      </c>
      <c r="F51" s="7" t="s">
        <v>2407</v>
      </c>
      <c r="G51" s="7" t="s">
        <v>2408</v>
      </c>
      <c r="H51" s="7">
        <f t="shared" si="0"/>
        <v>1</v>
      </c>
    </row>
    <row r="52" spans="1:8" ht="25" customHeight="1" x14ac:dyDescent="0.35">
      <c r="A52" s="7" t="s">
        <v>2411</v>
      </c>
      <c r="B52" s="7" t="s">
        <v>2412</v>
      </c>
      <c r="C52" s="7" t="s">
        <v>4</v>
      </c>
      <c r="D52" s="7">
        <v>20</v>
      </c>
      <c r="E52" s="7" t="s">
        <v>5</v>
      </c>
      <c r="F52" s="7" t="s">
        <v>2407</v>
      </c>
      <c r="G52" s="7" t="s">
        <v>2408</v>
      </c>
      <c r="H52" s="7">
        <f t="shared" si="0"/>
        <v>1</v>
      </c>
    </row>
    <row r="53" spans="1:8" ht="25" customHeight="1" x14ac:dyDescent="0.35">
      <c r="A53" s="7" t="s">
        <v>2413</v>
      </c>
      <c r="B53" s="7" t="s">
        <v>2414</v>
      </c>
      <c r="C53" s="7" t="s">
        <v>4</v>
      </c>
      <c r="D53" s="7">
        <v>20</v>
      </c>
      <c r="E53" s="7" t="s">
        <v>5</v>
      </c>
      <c r="F53" s="7" t="s">
        <v>2407</v>
      </c>
      <c r="G53" s="7" t="s">
        <v>2408</v>
      </c>
      <c r="H53" s="7">
        <f t="shared" si="0"/>
        <v>1</v>
      </c>
    </row>
    <row r="54" spans="1:8" ht="25" customHeight="1" x14ac:dyDescent="0.35">
      <c r="A54" s="7" t="s">
        <v>2415</v>
      </c>
      <c r="B54" s="7" t="s">
        <v>2416</v>
      </c>
      <c r="C54" s="7" t="s">
        <v>4</v>
      </c>
      <c r="D54" s="7">
        <v>20</v>
      </c>
      <c r="E54" s="7" t="s">
        <v>5</v>
      </c>
      <c r="F54" s="7" t="s">
        <v>2417</v>
      </c>
      <c r="G54" s="7" t="s">
        <v>2418</v>
      </c>
      <c r="H54" s="7">
        <f t="shared" si="0"/>
        <v>1</v>
      </c>
    </row>
    <row r="55" spans="1:8" ht="25" customHeight="1" x14ac:dyDescent="0.35">
      <c r="A55" s="7" t="s">
        <v>2419</v>
      </c>
      <c r="B55" s="7" t="s">
        <v>2420</v>
      </c>
      <c r="C55" s="7" t="s">
        <v>4</v>
      </c>
      <c r="D55" s="7">
        <v>20</v>
      </c>
      <c r="E55" s="7" t="s">
        <v>5</v>
      </c>
      <c r="F55" s="7" t="s">
        <v>2417</v>
      </c>
      <c r="G55" s="7" t="s">
        <v>2418</v>
      </c>
      <c r="H55" s="7">
        <f t="shared" si="0"/>
        <v>1</v>
      </c>
    </row>
    <row r="56" spans="1:8" ht="25" customHeight="1" x14ac:dyDescent="0.35">
      <c r="A56" s="7" t="s">
        <v>2421</v>
      </c>
      <c r="B56" s="7" t="s">
        <v>2422</v>
      </c>
      <c r="C56" s="7" t="s">
        <v>4</v>
      </c>
      <c r="D56" s="7">
        <v>20</v>
      </c>
      <c r="E56" s="7" t="s">
        <v>5</v>
      </c>
      <c r="F56" s="7" t="s">
        <v>2423</v>
      </c>
      <c r="G56" s="7" t="s">
        <v>2424</v>
      </c>
      <c r="H56" s="7">
        <f t="shared" si="0"/>
        <v>1</v>
      </c>
    </row>
    <row r="57" spans="1:8" ht="25" customHeight="1" x14ac:dyDescent="0.35">
      <c r="A57" s="7" t="s">
        <v>2425</v>
      </c>
      <c r="B57" s="7" t="s">
        <v>2426</v>
      </c>
      <c r="C57" s="7" t="s">
        <v>4</v>
      </c>
      <c r="D57" s="7">
        <v>20</v>
      </c>
      <c r="E57" s="7" t="s">
        <v>5</v>
      </c>
      <c r="F57" s="7" t="s">
        <v>2417</v>
      </c>
      <c r="G57" s="7" t="s">
        <v>2418</v>
      </c>
      <c r="H57" s="7">
        <f t="shared" si="0"/>
        <v>1</v>
      </c>
    </row>
    <row r="58" spans="1:8" ht="25" customHeight="1" x14ac:dyDescent="0.35">
      <c r="A58" s="7" t="s">
        <v>2427</v>
      </c>
      <c r="B58" s="7" t="s">
        <v>2428</v>
      </c>
      <c r="C58" s="7" t="s">
        <v>4</v>
      </c>
      <c r="D58" s="7">
        <v>20</v>
      </c>
      <c r="E58" s="7" t="s">
        <v>5</v>
      </c>
      <c r="F58" s="7" t="s">
        <v>2417</v>
      </c>
      <c r="G58" s="7" t="s">
        <v>2418</v>
      </c>
      <c r="H58" s="7">
        <f t="shared" si="0"/>
        <v>1</v>
      </c>
    </row>
    <row r="59" spans="1:8" ht="25" customHeight="1" x14ac:dyDescent="0.35">
      <c r="A59" s="7" t="s">
        <v>2429</v>
      </c>
      <c r="B59" s="7" t="s">
        <v>2430</v>
      </c>
      <c r="C59" s="7" t="s">
        <v>53</v>
      </c>
      <c r="D59" s="7">
        <v>20</v>
      </c>
      <c r="E59" s="7" t="s">
        <v>5</v>
      </c>
      <c r="F59" s="7" t="s">
        <v>2431</v>
      </c>
      <c r="G59" s="7" t="s">
        <v>2432</v>
      </c>
      <c r="H59" s="7">
        <f t="shared" si="0"/>
        <v>1</v>
      </c>
    </row>
    <row r="60" spans="1:8" ht="25" customHeight="1" x14ac:dyDescent="0.35">
      <c r="A60" s="7" t="s">
        <v>876</v>
      </c>
      <c r="B60" s="7" t="s">
        <v>877</v>
      </c>
      <c r="C60" s="7" t="s">
        <v>53</v>
      </c>
      <c r="D60" s="7">
        <v>20</v>
      </c>
      <c r="E60" s="7" t="s">
        <v>5</v>
      </c>
      <c r="F60" s="7" t="s">
        <v>2433</v>
      </c>
      <c r="G60" s="7" t="s">
        <v>2434</v>
      </c>
      <c r="H60" s="7">
        <f t="shared" si="0"/>
        <v>1</v>
      </c>
    </row>
    <row r="61" spans="1:8" ht="25" customHeight="1" x14ac:dyDescent="0.35">
      <c r="A61" s="7" t="s">
        <v>133</v>
      </c>
      <c r="B61" s="7" t="s">
        <v>134</v>
      </c>
      <c r="C61" s="7" t="s">
        <v>4</v>
      </c>
      <c r="D61" s="7">
        <v>20</v>
      </c>
      <c r="E61" s="7" t="s">
        <v>5</v>
      </c>
      <c r="F61" s="7" t="s">
        <v>2435</v>
      </c>
      <c r="G61" s="7" t="s">
        <v>2436</v>
      </c>
      <c r="H61" s="7">
        <f t="shared" si="0"/>
        <v>1</v>
      </c>
    </row>
    <row r="62" spans="1:8" ht="25" customHeight="1" x14ac:dyDescent="0.35">
      <c r="A62" s="7" t="s">
        <v>2437</v>
      </c>
      <c r="B62" s="7" t="s">
        <v>2438</v>
      </c>
      <c r="C62" s="7" t="s">
        <v>4</v>
      </c>
      <c r="D62" s="7">
        <v>40</v>
      </c>
      <c r="E62" s="7" t="s">
        <v>5</v>
      </c>
      <c r="F62" s="7" t="s">
        <v>2439</v>
      </c>
      <c r="G62" s="7" t="s">
        <v>2440</v>
      </c>
      <c r="H62" s="7">
        <f t="shared" si="0"/>
        <v>2</v>
      </c>
    </row>
    <row r="63" spans="1:8" ht="25" customHeight="1" x14ac:dyDescent="0.35">
      <c r="A63" s="7" t="s">
        <v>2441</v>
      </c>
      <c r="B63" s="7" t="s">
        <v>2442</v>
      </c>
      <c r="C63" s="7" t="s">
        <v>4</v>
      </c>
      <c r="D63" s="7">
        <v>40</v>
      </c>
      <c r="E63" s="7" t="s">
        <v>5</v>
      </c>
      <c r="F63" s="7" t="s">
        <v>2443</v>
      </c>
      <c r="G63" s="7" t="s">
        <v>2444</v>
      </c>
      <c r="H63" s="7">
        <f t="shared" si="0"/>
        <v>2</v>
      </c>
    </row>
    <row r="64" spans="1:8" ht="25" customHeight="1" x14ac:dyDescent="0.35">
      <c r="A64" s="7" t="s">
        <v>2445</v>
      </c>
      <c r="B64" s="7" t="s">
        <v>2446</v>
      </c>
      <c r="C64" s="7" t="s">
        <v>4</v>
      </c>
      <c r="D64" s="7">
        <v>40</v>
      </c>
      <c r="E64" s="7" t="s">
        <v>2447</v>
      </c>
      <c r="F64" s="7" t="s">
        <v>2448</v>
      </c>
      <c r="G64" s="7" t="s">
        <v>2449</v>
      </c>
      <c r="H64" s="7">
        <f t="shared" si="0"/>
        <v>2</v>
      </c>
    </row>
    <row r="65" spans="1:8" ht="25" customHeight="1" x14ac:dyDescent="0.35">
      <c r="A65" s="7" t="s">
        <v>2450</v>
      </c>
      <c r="B65" s="7" t="s">
        <v>2451</v>
      </c>
      <c r="C65" s="7" t="s">
        <v>4</v>
      </c>
      <c r="D65" s="7">
        <v>40</v>
      </c>
      <c r="E65" s="7" t="s">
        <v>2447</v>
      </c>
      <c r="F65" s="7" t="s">
        <v>2452</v>
      </c>
      <c r="G65" s="7" t="s">
        <v>2453</v>
      </c>
      <c r="H65" s="7">
        <f t="shared" si="0"/>
        <v>2</v>
      </c>
    </row>
    <row r="66" spans="1:8" ht="25" customHeight="1" x14ac:dyDescent="0.35">
      <c r="A66" s="7" t="s">
        <v>2454</v>
      </c>
      <c r="B66" s="7" t="s">
        <v>2455</v>
      </c>
      <c r="C66" s="7" t="s">
        <v>4</v>
      </c>
      <c r="D66" s="7">
        <v>40</v>
      </c>
      <c r="E66" s="7" t="s">
        <v>2447</v>
      </c>
      <c r="F66" s="7" t="s">
        <v>2452</v>
      </c>
      <c r="G66" s="7" t="s">
        <v>2453</v>
      </c>
      <c r="H66" s="7">
        <f t="shared" si="0"/>
        <v>2</v>
      </c>
    </row>
    <row r="67" spans="1:8" ht="25" customHeight="1" x14ac:dyDescent="0.35">
      <c r="A67" s="7" t="s">
        <v>2456</v>
      </c>
      <c r="B67" s="7" t="s">
        <v>2457</v>
      </c>
      <c r="C67" s="7" t="s">
        <v>4</v>
      </c>
      <c r="D67" s="7">
        <v>40</v>
      </c>
      <c r="E67" s="7" t="s">
        <v>2447</v>
      </c>
      <c r="F67" s="7" t="s">
        <v>2448</v>
      </c>
      <c r="G67" s="7" t="s">
        <v>2449</v>
      </c>
      <c r="H67" s="7">
        <f t="shared" ref="H67:H80" si="1">D67/20</f>
        <v>2</v>
      </c>
    </row>
    <row r="68" spans="1:8" ht="25" customHeight="1" x14ac:dyDescent="0.35">
      <c r="A68" s="7" t="s">
        <v>2458</v>
      </c>
      <c r="B68" s="7" t="s">
        <v>2459</v>
      </c>
      <c r="C68" s="7" t="s">
        <v>4</v>
      </c>
      <c r="D68" s="7">
        <v>40</v>
      </c>
      <c r="E68" s="7" t="s">
        <v>2447</v>
      </c>
      <c r="F68" s="7" t="s">
        <v>2448</v>
      </c>
      <c r="G68" s="7" t="s">
        <v>2449</v>
      </c>
      <c r="H68" s="7">
        <f t="shared" si="1"/>
        <v>2</v>
      </c>
    </row>
    <row r="69" spans="1:8" ht="25" customHeight="1" x14ac:dyDescent="0.35">
      <c r="A69" s="7" t="s">
        <v>2460</v>
      </c>
      <c r="B69" s="7" t="s">
        <v>2461</v>
      </c>
      <c r="C69" s="7" t="s">
        <v>4</v>
      </c>
      <c r="D69" s="7">
        <v>40</v>
      </c>
      <c r="E69" s="7" t="s">
        <v>2447</v>
      </c>
      <c r="F69" s="7" t="s">
        <v>2452</v>
      </c>
      <c r="G69" s="7" t="s">
        <v>2453</v>
      </c>
      <c r="H69" s="7">
        <f t="shared" si="1"/>
        <v>2</v>
      </c>
    </row>
    <row r="70" spans="1:8" ht="25" customHeight="1" x14ac:dyDescent="0.35">
      <c r="A70" s="7" t="s">
        <v>2462</v>
      </c>
      <c r="B70" s="7" t="s">
        <v>2463</v>
      </c>
      <c r="C70" s="7" t="s">
        <v>4</v>
      </c>
      <c r="D70" s="7">
        <v>20</v>
      </c>
      <c r="E70" s="7" t="s">
        <v>5</v>
      </c>
      <c r="F70" s="7" t="s">
        <v>2464</v>
      </c>
      <c r="G70" s="7" t="s">
        <v>2465</v>
      </c>
      <c r="H70" s="7">
        <f t="shared" si="1"/>
        <v>1</v>
      </c>
    </row>
    <row r="71" spans="1:8" ht="25" customHeight="1" x14ac:dyDescent="0.35">
      <c r="A71" s="7" t="s">
        <v>2466</v>
      </c>
      <c r="B71" s="7" t="s">
        <v>2467</v>
      </c>
      <c r="C71" s="7" t="s">
        <v>4</v>
      </c>
      <c r="D71" s="7">
        <v>20</v>
      </c>
      <c r="E71" s="7" t="s">
        <v>5</v>
      </c>
      <c r="F71" s="7" t="s">
        <v>2468</v>
      </c>
      <c r="G71" s="7" t="s">
        <v>2469</v>
      </c>
      <c r="H71" s="7">
        <f t="shared" si="1"/>
        <v>1</v>
      </c>
    </row>
    <row r="72" spans="1:8" ht="25" customHeight="1" x14ac:dyDescent="0.35">
      <c r="A72" s="7" t="s">
        <v>2470</v>
      </c>
      <c r="B72" s="7" t="s">
        <v>2471</v>
      </c>
      <c r="C72" s="7" t="s">
        <v>4</v>
      </c>
      <c r="D72" s="7">
        <v>20</v>
      </c>
      <c r="E72" s="7" t="s">
        <v>5</v>
      </c>
      <c r="F72" s="7" t="s">
        <v>2472</v>
      </c>
      <c r="G72" s="7" t="s">
        <v>2473</v>
      </c>
      <c r="H72" s="7">
        <f t="shared" si="1"/>
        <v>1</v>
      </c>
    </row>
    <row r="73" spans="1:8" ht="25" customHeight="1" x14ac:dyDescent="0.35">
      <c r="A73" s="7" t="s">
        <v>2474</v>
      </c>
      <c r="B73" s="7" t="s">
        <v>2475</v>
      </c>
      <c r="C73" s="7" t="s">
        <v>4</v>
      </c>
      <c r="D73" s="7">
        <v>40</v>
      </c>
      <c r="E73" s="7" t="s">
        <v>5</v>
      </c>
      <c r="F73" s="7" t="s">
        <v>2476</v>
      </c>
      <c r="G73" s="7" t="s">
        <v>2477</v>
      </c>
      <c r="H73" s="7">
        <f t="shared" si="1"/>
        <v>2</v>
      </c>
    </row>
    <row r="74" spans="1:8" ht="25" customHeight="1" x14ac:dyDescent="0.35">
      <c r="A74" s="7" t="s">
        <v>2478</v>
      </c>
      <c r="B74" s="7" t="s">
        <v>2479</v>
      </c>
      <c r="C74" s="7" t="s">
        <v>4</v>
      </c>
      <c r="D74" s="7">
        <v>20</v>
      </c>
      <c r="E74" s="7" t="s">
        <v>5</v>
      </c>
      <c r="F74" s="7" t="s">
        <v>2480</v>
      </c>
      <c r="G74" s="7" t="s">
        <v>2481</v>
      </c>
      <c r="H74" s="7">
        <f t="shared" si="1"/>
        <v>1</v>
      </c>
    </row>
    <row r="75" spans="1:8" ht="25" customHeight="1" x14ac:dyDescent="0.35">
      <c r="A75" s="7" t="s">
        <v>2482</v>
      </c>
      <c r="B75" s="7" t="s">
        <v>2483</v>
      </c>
      <c r="C75" s="7" t="s">
        <v>4</v>
      </c>
      <c r="D75" s="7">
        <v>20</v>
      </c>
      <c r="E75" s="7" t="s">
        <v>5</v>
      </c>
      <c r="F75" s="7" t="s">
        <v>2484</v>
      </c>
      <c r="G75" s="7" t="s">
        <v>2485</v>
      </c>
      <c r="H75" s="7">
        <f t="shared" si="1"/>
        <v>1</v>
      </c>
    </row>
    <row r="76" spans="1:8" ht="25" customHeight="1" x14ac:dyDescent="0.35">
      <c r="A76" s="7" t="s">
        <v>2486</v>
      </c>
      <c r="B76" s="7" t="s">
        <v>2487</v>
      </c>
      <c r="C76" s="7" t="s">
        <v>4</v>
      </c>
      <c r="D76" s="7">
        <v>20</v>
      </c>
      <c r="E76" s="7" t="s">
        <v>5</v>
      </c>
      <c r="F76" s="7" t="s">
        <v>2488</v>
      </c>
      <c r="G76" s="7" t="s">
        <v>2489</v>
      </c>
      <c r="H76" s="7">
        <f t="shared" si="1"/>
        <v>1</v>
      </c>
    </row>
    <row r="77" spans="1:8" ht="25" customHeight="1" x14ac:dyDescent="0.35">
      <c r="A77" s="7" t="s">
        <v>2490</v>
      </c>
      <c r="B77" s="7" t="s">
        <v>2491</v>
      </c>
      <c r="C77" s="7" t="s">
        <v>4</v>
      </c>
      <c r="D77" s="7">
        <v>20</v>
      </c>
      <c r="E77" s="7" t="s">
        <v>5</v>
      </c>
      <c r="F77" s="7" t="s">
        <v>2488</v>
      </c>
      <c r="G77" s="7" t="s">
        <v>2489</v>
      </c>
      <c r="H77" s="7">
        <f t="shared" si="1"/>
        <v>1</v>
      </c>
    </row>
    <row r="78" spans="1:8" ht="25" customHeight="1" x14ac:dyDescent="0.35">
      <c r="A78" s="7" t="s">
        <v>531</v>
      </c>
      <c r="B78" s="7" t="s">
        <v>532</v>
      </c>
      <c r="C78" s="7" t="s">
        <v>4</v>
      </c>
      <c r="D78" s="7">
        <v>20</v>
      </c>
      <c r="E78" s="7" t="s">
        <v>5</v>
      </c>
      <c r="F78" s="7" t="s">
        <v>2492</v>
      </c>
      <c r="G78" s="7" t="s">
        <v>2493</v>
      </c>
      <c r="H78" s="7">
        <f t="shared" si="1"/>
        <v>1</v>
      </c>
    </row>
    <row r="79" spans="1:8" ht="25" customHeight="1" x14ac:dyDescent="0.35">
      <c r="A79" s="7" t="s">
        <v>268</v>
      </c>
      <c r="B79" s="7" t="s">
        <v>269</v>
      </c>
      <c r="C79" s="7" t="s">
        <v>4</v>
      </c>
      <c r="D79" s="7">
        <v>20</v>
      </c>
      <c r="E79" s="7" t="s">
        <v>5</v>
      </c>
      <c r="F79" s="7" t="s">
        <v>2494</v>
      </c>
      <c r="G79" s="7" t="s">
        <v>2495</v>
      </c>
      <c r="H79" s="7">
        <f t="shared" si="1"/>
        <v>1</v>
      </c>
    </row>
    <row r="80" spans="1:8" ht="25" customHeight="1" x14ac:dyDescent="0.35">
      <c r="A80" s="7" t="s">
        <v>2496</v>
      </c>
      <c r="B80" s="7" t="s">
        <v>2497</v>
      </c>
      <c r="C80" s="7" t="s">
        <v>4</v>
      </c>
      <c r="D80" s="7">
        <v>20</v>
      </c>
      <c r="E80" s="7" t="s">
        <v>5</v>
      </c>
      <c r="F80" s="7" t="s">
        <v>2498</v>
      </c>
      <c r="G80" s="7" t="s">
        <v>2499</v>
      </c>
      <c r="H80" s="7">
        <f t="shared" si="1"/>
        <v>1</v>
      </c>
    </row>
    <row r="81" spans="7:8" ht="25" customHeight="1" x14ac:dyDescent="0.35">
      <c r="G81" s="2" t="s">
        <v>3496</v>
      </c>
      <c r="H81" s="2">
        <f>SUM(H2:H80)</f>
        <v>134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7" orientation="portrait" r:id="rId1"/>
  <headerFooter>
    <oddFooter>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1A41-62DF-47C9-90BD-8410E3343834}">
  <dimension ref="A1:H55"/>
  <sheetViews>
    <sheetView view="pageBreakPreview" topLeftCell="A45" zoomScale="85" zoomScaleNormal="85" zoomScaleSheetLayoutView="85" workbookViewId="0">
      <selection activeCell="H55" sqref="G55:H55"/>
    </sheetView>
  </sheetViews>
  <sheetFormatPr defaultColWidth="36.54296875" defaultRowHeight="16" x14ac:dyDescent="0.35"/>
  <cols>
    <col min="1" max="1" width="15.7265625" style="1" customWidth="1"/>
    <col min="2" max="2" width="41.453125" style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12.54296875" style="1" bestFit="1" customWidth="1"/>
    <col min="8" max="8" width="7.906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2500</v>
      </c>
      <c r="C1" s="6" t="s">
        <v>3480</v>
      </c>
      <c r="D1" s="5" t="s">
        <v>3488</v>
      </c>
      <c r="E1" s="6" t="s">
        <v>3484</v>
      </c>
      <c r="F1" s="6" t="s">
        <v>3481</v>
      </c>
      <c r="G1" s="6" t="s">
        <v>3482</v>
      </c>
      <c r="H1" s="6" t="s">
        <v>3495</v>
      </c>
    </row>
    <row r="2" spans="1:8" ht="25" customHeight="1" x14ac:dyDescent="0.35">
      <c r="A2" s="7" t="s">
        <v>2163</v>
      </c>
      <c r="B2" s="7" t="s">
        <v>2164</v>
      </c>
      <c r="C2" s="7" t="s">
        <v>4</v>
      </c>
      <c r="D2" s="7">
        <v>20</v>
      </c>
      <c r="E2" s="7" t="s">
        <v>5</v>
      </c>
      <c r="F2" s="7" t="s">
        <v>2501</v>
      </c>
      <c r="G2" s="7" t="s">
        <v>2502</v>
      </c>
      <c r="H2" s="7">
        <f>D2/20</f>
        <v>1</v>
      </c>
    </row>
    <row r="3" spans="1:8" ht="25" customHeight="1" x14ac:dyDescent="0.35">
      <c r="A3" s="7" t="s">
        <v>2163</v>
      </c>
      <c r="B3" s="7" t="s">
        <v>2164</v>
      </c>
      <c r="C3" s="7" t="s">
        <v>4</v>
      </c>
      <c r="D3" s="7">
        <v>20</v>
      </c>
      <c r="E3" s="7" t="s">
        <v>5</v>
      </c>
      <c r="F3" s="7" t="s">
        <v>2501</v>
      </c>
      <c r="G3" s="7" t="s">
        <v>2502</v>
      </c>
      <c r="H3" s="7">
        <f t="shared" ref="H3:H54" si="0">D3/20</f>
        <v>1</v>
      </c>
    </row>
    <row r="4" spans="1:8" ht="25" customHeight="1" x14ac:dyDescent="0.35">
      <c r="A4" s="7" t="s">
        <v>2503</v>
      </c>
      <c r="B4" s="7" t="s">
        <v>2504</v>
      </c>
      <c r="C4" s="7" t="s">
        <v>4</v>
      </c>
      <c r="D4" s="7">
        <v>20</v>
      </c>
      <c r="E4" s="7" t="s">
        <v>5</v>
      </c>
      <c r="F4" s="7" t="s">
        <v>2501</v>
      </c>
      <c r="G4" s="7" t="s">
        <v>2502</v>
      </c>
      <c r="H4" s="7">
        <f t="shared" si="0"/>
        <v>1</v>
      </c>
    </row>
    <row r="5" spans="1:8" ht="25" customHeight="1" x14ac:dyDescent="0.35">
      <c r="A5" s="7" t="s">
        <v>2159</v>
      </c>
      <c r="B5" s="7" t="s">
        <v>2160</v>
      </c>
      <c r="C5" s="7" t="s">
        <v>4</v>
      </c>
      <c r="D5" s="7">
        <v>20</v>
      </c>
      <c r="E5" s="7" t="s">
        <v>5</v>
      </c>
      <c r="F5" s="7" t="s">
        <v>2501</v>
      </c>
      <c r="G5" s="7" t="s">
        <v>2502</v>
      </c>
      <c r="H5" s="7">
        <f t="shared" si="0"/>
        <v>1</v>
      </c>
    </row>
    <row r="6" spans="1:8" ht="25" customHeight="1" x14ac:dyDescent="0.35">
      <c r="A6" s="7" t="s">
        <v>539</v>
      </c>
      <c r="B6" s="7" t="s">
        <v>540</v>
      </c>
      <c r="C6" s="7" t="s">
        <v>4</v>
      </c>
      <c r="D6" s="7">
        <v>20</v>
      </c>
      <c r="E6" s="7" t="s">
        <v>5</v>
      </c>
      <c r="F6" s="7" t="s">
        <v>2505</v>
      </c>
      <c r="G6" s="7" t="s">
        <v>2506</v>
      </c>
      <c r="H6" s="7">
        <f t="shared" si="0"/>
        <v>1</v>
      </c>
    </row>
    <row r="7" spans="1:8" ht="25" customHeight="1" x14ac:dyDescent="0.35">
      <c r="A7" s="7" t="s">
        <v>2507</v>
      </c>
      <c r="B7" s="7" t="s">
        <v>2508</v>
      </c>
      <c r="C7" s="7" t="s">
        <v>4</v>
      </c>
      <c r="D7" s="7">
        <v>40</v>
      </c>
      <c r="E7" s="7" t="s">
        <v>5</v>
      </c>
      <c r="F7" s="7" t="s">
        <v>2509</v>
      </c>
      <c r="G7" s="7" t="s">
        <v>2510</v>
      </c>
      <c r="H7" s="7">
        <f t="shared" si="0"/>
        <v>2</v>
      </c>
    </row>
    <row r="8" spans="1:8" ht="25" customHeight="1" x14ac:dyDescent="0.35">
      <c r="A8" s="7" t="s">
        <v>2511</v>
      </c>
      <c r="B8" s="7" t="s">
        <v>2512</v>
      </c>
      <c r="C8" s="7" t="s">
        <v>4</v>
      </c>
      <c r="D8" s="7">
        <v>40</v>
      </c>
      <c r="E8" s="7" t="s">
        <v>5</v>
      </c>
      <c r="F8" s="7" t="s">
        <v>2513</v>
      </c>
      <c r="G8" s="7" t="s">
        <v>2514</v>
      </c>
      <c r="H8" s="7">
        <f t="shared" si="0"/>
        <v>2</v>
      </c>
    </row>
    <row r="9" spans="1:8" ht="25" customHeight="1" x14ac:dyDescent="0.35">
      <c r="A9" s="7" t="s">
        <v>2515</v>
      </c>
      <c r="B9" s="7" t="s">
        <v>2516</v>
      </c>
      <c r="C9" s="7" t="s">
        <v>4</v>
      </c>
      <c r="D9" s="7">
        <v>40</v>
      </c>
      <c r="E9" s="7" t="s">
        <v>5</v>
      </c>
      <c r="F9" s="7" t="s">
        <v>2517</v>
      </c>
      <c r="G9" s="7" t="s">
        <v>2518</v>
      </c>
      <c r="H9" s="7">
        <f t="shared" si="0"/>
        <v>2</v>
      </c>
    </row>
    <row r="10" spans="1:8" ht="25" customHeight="1" x14ac:dyDescent="0.35">
      <c r="A10" s="7" t="s">
        <v>2519</v>
      </c>
      <c r="B10" s="7" t="s">
        <v>2520</v>
      </c>
      <c r="C10" s="7" t="s">
        <v>4</v>
      </c>
      <c r="D10" s="7">
        <v>20</v>
      </c>
      <c r="E10" s="7" t="s">
        <v>5</v>
      </c>
      <c r="F10" s="7" t="s">
        <v>2521</v>
      </c>
      <c r="G10" s="7" t="s">
        <v>2522</v>
      </c>
      <c r="H10" s="7">
        <f t="shared" si="0"/>
        <v>1</v>
      </c>
    </row>
    <row r="11" spans="1:8" ht="25" customHeight="1" x14ac:dyDescent="0.35">
      <c r="A11" s="7" t="s">
        <v>2153</v>
      </c>
      <c r="B11" s="7" t="s">
        <v>2154</v>
      </c>
      <c r="C11" s="7" t="s">
        <v>4</v>
      </c>
      <c r="D11" s="7">
        <v>20</v>
      </c>
      <c r="E11" s="7" t="s">
        <v>5</v>
      </c>
      <c r="F11" s="7" t="s">
        <v>2523</v>
      </c>
      <c r="G11" s="7" t="s">
        <v>2524</v>
      </c>
      <c r="H11" s="7">
        <f t="shared" si="0"/>
        <v>1</v>
      </c>
    </row>
    <row r="12" spans="1:8" ht="25" customHeight="1" x14ac:dyDescent="0.35">
      <c r="A12" s="7" t="s">
        <v>2184</v>
      </c>
      <c r="B12" s="7" t="s">
        <v>2185</v>
      </c>
      <c r="C12" s="7" t="s">
        <v>4</v>
      </c>
      <c r="D12" s="7">
        <v>20</v>
      </c>
      <c r="E12" s="7" t="s">
        <v>5</v>
      </c>
      <c r="F12" s="7" t="s">
        <v>2525</v>
      </c>
      <c r="G12" s="7" t="s">
        <v>2526</v>
      </c>
      <c r="H12" s="7">
        <f t="shared" si="0"/>
        <v>1</v>
      </c>
    </row>
    <row r="13" spans="1:8" ht="25" customHeight="1" x14ac:dyDescent="0.35">
      <c r="A13" s="7" t="s">
        <v>2527</v>
      </c>
      <c r="B13" s="7" t="s">
        <v>2528</v>
      </c>
      <c r="C13" s="7" t="s">
        <v>4</v>
      </c>
      <c r="D13" s="7">
        <v>20</v>
      </c>
      <c r="E13" s="7" t="s">
        <v>5</v>
      </c>
      <c r="F13" s="7" t="s">
        <v>2525</v>
      </c>
      <c r="G13" s="7" t="s">
        <v>2526</v>
      </c>
      <c r="H13" s="7">
        <f t="shared" si="0"/>
        <v>1</v>
      </c>
    </row>
    <row r="14" spans="1:8" ht="25" customHeight="1" x14ac:dyDescent="0.35">
      <c r="A14" s="7" t="s">
        <v>2529</v>
      </c>
      <c r="B14" s="7" t="s">
        <v>2530</v>
      </c>
      <c r="C14" s="7" t="s">
        <v>4</v>
      </c>
      <c r="D14" s="7">
        <v>20</v>
      </c>
      <c r="E14" s="7" t="s">
        <v>5</v>
      </c>
      <c r="F14" s="7" t="s">
        <v>2531</v>
      </c>
      <c r="G14" s="7" t="s">
        <v>2532</v>
      </c>
      <c r="H14" s="7">
        <f t="shared" si="0"/>
        <v>1</v>
      </c>
    </row>
    <row r="15" spans="1:8" ht="25" customHeight="1" x14ac:dyDescent="0.35">
      <c r="A15" s="7" t="s">
        <v>353</v>
      </c>
      <c r="B15" s="7" t="s">
        <v>354</v>
      </c>
      <c r="C15" s="7" t="s">
        <v>4</v>
      </c>
      <c r="D15" s="7">
        <v>20</v>
      </c>
      <c r="E15" s="7" t="s">
        <v>5</v>
      </c>
      <c r="F15" s="7" t="s">
        <v>2533</v>
      </c>
      <c r="G15" s="7" t="s">
        <v>2534</v>
      </c>
      <c r="H15" s="7">
        <f t="shared" si="0"/>
        <v>1</v>
      </c>
    </row>
    <row r="16" spans="1:8" ht="25" customHeight="1" x14ac:dyDescent="0.35">
      <c r="A16" s="7" t="s">
        <v>2535</v>
      </c>
      <c r="B16" s="7" t="s">
        <v>2536</v>
      </c>
      <c r="C16" s="7" t="s">
        <v>4</v>
      </c>
      <c r="D16" s="7">
        <v>20</v>
      </c>
      <c r="E16" s="7" t="s">
        <v>5</v>
      </c>
      <c r="F16" s="7" t="s">
        <v>2537</v>
      </c>
      <c r="G16" s="7" t="s">
        <v>2538</v>
      </c>
      <c r="H16" s="7">
        <f t="shared" si="0"/>
        <v>1</v>
      </c>
    </row>
    <row r="17" spans="1:8" ht="25" customHeight="1" x14ac:dyDescent="0.35">
      <c r="A17" s="7" t="s">
        <v>2539</v>
      </c>
      <c r="B17" s="7" t="s">
        <v>2540</v>
      </c>
      <c r="C17" s="7" t="s">
        <v>4</v>
      </c>
      <c r="D17" s="7">
        <v>20</v>
      </c>
      <c r="E17" s="7" t="s">
        <v>5</v>
      </c>
      <c r="F17" s="7" t="s">
        <v>2541</v>
      </c>
      <c r="G17" s="7" t="s">
        <v>2542</v>
      </c>
      <c r="H17" s="7">
        <f t="shared" si="0"/>
        <v>1</v>
      </c>
    </row>
    <row r="18" spans="1:8" ht="25" customHeight="1" x14ac:dyDescent="0.35">
      <c r="A18" s="7" t="s">
        <v>2543</v>
      </c>
      <c r="B18" s="7" t="s">
        <v>2544</v>
      </c>
      <c r="C18" s="7" t="s">
        <v>4</v>
      </c>
      <c r="D18" s="7">
        <v>40</v>
      </c>
      <c r="E18" s="7" t="s">
        <v>5</v>
      </c>
      <c r="F18" s="7" t="s">
        <v>2501</v>
      </c>
      <c r="G18" s="7" t="s">
        <v>2545</v>
      </c>
      <c r="H18" s="7">
        <f t="shared" si="0"/>
        <v>2</v>
      </c>
    </row>
    <row r="19" spans="1:8" ht="25" customHeight="1" x14ac:dyDescent="0.35">
      <c r="A19" s="7" t="s">
        <v>2546</v>
      </c>
      <c r="B19" s="7" t="s">
        <v>2547</v>
      </c>
      <c r="C19" s="7" t="s">
        <v>4</v>
      </c>
      <c r="D19" s="7">
        <v>20</v>
      </c>
      <c r="E19" s="7" t="s">
        <v>5</v>
      </c>
      <c r="F19" s="7" t="s">
        <v>2548</v>
      </c>
      <c r="G19" s="7" t="s">
        <v>2549</v>
      </c>
      <c r="H19" s="7">
        <f t="shared" si="0"/>
        <v>1</v>
      </c>
    </row>
    <row r="20" spans="1:8" ht="25" customHeight="1" x14ac:dyDescent="0.35">
      <c r="A20" s="7" t="s">
        <v>2550</v>
      </c>
      <c r="B20" s="7" t="s">
        <v>2551</v>
      </c>
      <c r="C20" s="7" t="s">
        <v>4</v>
      </c>
      <c r="D20" s="7">
        <v>20</v>
      </c>
      <c r="E20" s="7" t="s">
        <v>5</v>
      </c>
      <c r="F20" s="7" t="s">
        <v>2552</v>
      </c>
      <c r="G20" s="7" t="s">
        <v>2553</v>
      </c>
      <c r="H20" s="7">
        <f t="shared" si="0"/>
        <v>1</v>
      </c>
    </row>
    <row r="21" spans="1:8" ht="25" customHeight="1" x14ac:dyDescent="0.35">
      <c r="A21" s="7" t="s">
        <v>2554</v>
      </c>
      <c r="B21" s="7" t="s">
        <v>2555</v>
      </c>
      <c r="C21" s="7" t="s">
        <v>4</v>
      </c>
      <c r="D21" s="7">
        <v>20</v>
      </c>
      <c r="E21" s="7" t="s">
        <v>5</v>
      </c>
      <c r="F21" s="7" t="s">
        <v>2556</v>
      </c>
      <c r="G21" s="7" t="s">
        <v>2557</v>
      </c>
      <c r="H21" s="7">
        <f t="shared" si="0"/>
        <v>1</v>
      </c>
    </row>
    <row r="22" spans="1:8" ht="25" customHeight="1" x14ac:dyDescent="0.35">
      <c r="A22" s="7" t="s">
        <v>933</v>
      </c>
      <c r="B22" s="7" t="s">
        <v>934</v>
      </c>
      <c r="C22" s="7" t="s">
        <v>4</v>
      </c>
      <c r="D22" s="7">
        <v>20</v>
      </c>
      <c r="E22" s="7" t="s">
        <v>5</v>
      </c>
      <c r="F22" s="7" t="s">
        <v>2558</v>
      </c>
      <c r="G22" s="7" t="s">
        <v>2559</v>
      </c>
      <c r="H22" s="7">
        <f t="shared" si="0"/>
        <v>1</v>
      </c>
    </row>
    <row r="23" spans="1:8" ht="25" customHeight="1" x14ac:dyDescent="0.35">
      <c r="A23" s="7" t="s">
        <v>961</v>
      </c>
      <c r="B23" s="7" t="s">
        <v>962</v>
      </c>
      <c r="C23" s="7" t="s">
        <v>4</v>
      </c>
      <c r="D23" s="7">
        <v>20</v>
      </c>
      <c r="E23" s="7" t="s">
        <v>5</v>
      </c>
      <c r="F23" s="7" t="s">
        <v>2560</v>
      </c>
      <c r="G23" s="7" t="s">
        <v>2561</v>
      </c>
      <c r="H23" s="7">
        <f t="shared" si="0"/>
        <v>1</v>
      </c>
    </row>
    <row r="24" spans="1:8" ht="25" customHeight="1" x14ac:dyDescent="0.35">
      <c r="A24" s="7" t="s">
        <v>2126</v>
      </c>
      <c r="B24" s="7" t="s">
        <v>2127</v>
      </c>
      <c r="C24" s="7" t="s">
        <v>53</v>
      </c>
      <c r="D24" s="7">
        <v>40</v>
      </c>
      <c r="E24" s="7" t="s">
        <v>5</v>
      </c>
      <c r="F24" s="7" t="s">
        <v>2562</v>
      </c>
      <c r="G24" s="7" t="s">
        <v>2563</v>
      </c>
      <c r="H24" s="7">
        <f t="shared" si="0"/>
        <v>2</v>
      </c>
    </row>
    <row r="25" spans="1:8" ht="25" customHeight="1" x14ac:dyDescent="0.35">
      <c r="A25" s="7" t="s">
        <v>665</v>
      </c>
      <c r="B25" s="7" t="s">
        <v>666</v>
      </c>
      <c r="C25" s="7" t="s">
        <v>53</v>
      </c>
      <c r="D25" s="7">
        <v>120</v>
      </c>
      <c r="E25" s="7" t="s">
        <v>5</v>
      </c>
      <c r="F25" s="7" t="s">
        <v>2564</v>
      </c>
      <c r="G25" s="7" t="s">
        <v>2565</v>
      </c>
      <c r="H25" s="7">
        <f t="shared" si="0"/>
        <v>6</v>
      </c>
    </row>
    <row r="26" spans="1:8" ht="25" customHeight="1" x14ac:dyDescent="0.35">
      <c r="A26" s="7" t="s">
        <v>2566</v>
      </c>
      <c r="B26" s="7" t="s">
        <v>2567</v>
      </c>
      <c r="C26" s="7" t="s">
        <v>4</v>
      </c>
      <c r="D26" s="7">
        <v>20</v>
      </c>
      <c r="E26" s="7" t="s">
        <v>5</v>
      </c>
      <c r="F26" s="7" t="s">
        <v>2568</v>
      </c>
      <c r="G26" s="7" t="s">
        <v>2569</v>
      </c>
      <c r="H26" s="7">
        <f t="shared" si="0"/>
        <v>1</v>
      </c>
    </row>
    <row r="27" spans="1:8" ht="25" customHeight="1" x14ac:dyDescent="0.35">
      <c r="A27" s="7" t="s">
        <v>2570</v>
      </c>
      <c r="B27" s="7" t="s">
        <v>2571</v>
      </c>
      <c r="C27" s="7" t="s">
        <v>4</v>
      </c>
      <c r="D27" s="7">
        <v>20</v>
      </c>
      <c r="E27" s="7" t="s">
        <v>5</v>
      </c>
      <c r="F27" s="7" t="s">
        <v>2572</v>
      </c>
      <c r="G27" s="7" t="s">
        <v>2573</v>
      </c>
      <c r="H27" s="7">
        <f t="shared" si="0"/>
        <v>1</v>
      </c>
    </row>
    <row r="28" spans="1:8" ht="25" customHeight="1" x14ac:dyDescent="0.35">
      <c r="A28" s="7" t="s">
        <v>2574</v>
      </c>
      <c r="B28" s="7" t="s">
        <v>2575</v>
      </c>
      <c r="C28" s="7" t="s">
        <v>4</v>
      </c>
      <c r="D28" s="7">
        <v>20</v>
      </c>
      <c r="E28" s="7" t="s">
        <v>5</v>
      </c>
      <c r="F28" s="7" t="s">
        <v>2576</v>
      </c>
      <c r="G28" s="7" t="s">
        <v>2577</v>
      </c>
      <c r="H28" s="7">
        <f t="shared" si="0"/>
        <v>1</v>
      </c>
    </row>
    <row r="29" spans="1:8" ht="25" customHeight="1" x14ac:dyDescent="0.35">
      <c r="A29" s="7" t="s">
        <v>2578</v>
      </c>
      <c r="B29" s="7" t="s">
        <v>2579</v>
      </c>
      <c r="C29" s="7" t="s">
        <v>4</v>
      </c>
      <c r="D29" s="7">
        <v>20</v>
      </c>
      <c r="E29" s="7" t="s">
        <v>5</v>
      </c>
      <c r="F29" s="7" t="s">
        <v>2580</v>
      </c>
      <c r="G29" s="7" t="s">
        <v>2581</v>
      </c>
      <c r="H29" s="7">
        <f t="shared" si="0"/>
        <v>1</v>
      </c>
    </row>
    <row r="30" spans="1:8" ht="25" customHeight="1" x14ac:dyDescent="0.35">
      <c r="A30" s="7" t="s">
        <v>2340</v>
      </c>
      <c r="B30" s="7" t="s">
        <v>2341</v>
      </c>
      <c r="C30" s="7" t="s">
        <v>4</v>
      </c>
      <c r="D30" s="7">
        <v>20</v>
      </c>
      <c r="E30" s="7" t="s">
        <v>5</v>
      </c>
      <c r="F30" s="7" t="s">
        <v>2582</v>
      </c>
      <c r="G30" s="7" t="s">
        <v>2583</v>
      </c>
      <c r="H30" s="7">
        <f t="shared" si="0"/>
        <v>1</v>
      </c>
    </row>
    <row r="31" spans="1:8" ht="25" customHeight="1" x14ac:dyDescent="0.35">
      <c r="A31" s="7" t="s">
        <v>2584</v>
      </c>
      <c r="B31" s="7" t="s">
        <v>2585</v>
      </c>
      <c r="C31" s="7" t="s">
        <v>53</v>
      </c>
      <c r="D31" s="7">
        <v>20</v>
      </c>
      <c r="E31" s="7" t="s">
        <v>5</v>
      </c>
      <c r="F31" s="7" t="s">
        <v>2586</v>
      </c>
      <c r="G31" s="7" t="s">
        <v>2587</v>
      </c>
      <c r="H31" s="7">
        <f t="shared" si="0"/>
        <v>1</v>
      </c>
    </row>
    <row r="32" spans="1:8" ht="25" customHeight="1" x14ac:dyDescent="0.35">
      <c r="A32" s="7" t="s">
        <v>1588</v>
      </c>
      <c r="B32" s="7" t="s">
        <v>1589</v>
      </c>
      <c r="C32" s="7" t="s">
        <v>53</v>
      </c>
      <c r="D32" s="7">
        <v>20</v>
      </c>
      <c r="E32" s="7" t="s">
        <v>5</v>
      </c>
      <c r="F32" s="7" t="s">
        <v>2586</v>
      </c>
      <c r="G32" s="7" t="s">
        <v>2587</v>
      </c>
      <c r="H32" s="7">
        <f t="shared" si="0"/>
        <v>1</v>
      </c>
    </row>
    <row r="33" spans="1:8" ht="25" customHeight="1" x14ac:dyDescent="0.35">
      <c r="A33" s="7" t="s">
        <v>2588</v>
      </c>
      <c r="B33" s="7" t="s">
        <v>2589</v>
      </c>
      <c r="C33" s="7" t="s">
        <v>4</v>
      </c>
      <c r="D33" s="7">
        <v>20</v>
      </c>
      <c r="E33" s="7" t="s">
        <v>5</v>
      </c>
      <c r="F33" s="7" t="s">
        <v>2590</v>
      </c>
      <c r="G33" s="7" t="s">
        <v>2591</v>
      </c>
      <c r="H33" s="7">
        <f t="shared" si="0"/>
        <v>1</v>
      </c>
    </row>
    <row r="34" spans="1:8" ht="25" customHeight="1" x14ac:dyDescent="0.35">
      <c r="A34" s="7" t="s">
        <v>2592</v>
      </c>
      <c r="B34" s="7" t="s">
        <v>2593</v>
      </c>
      <c r="C34" s="7" t="s">
        <v>4</v>
      </c>
      <c r="D34" s="7">
        <v>20</v>
      </c>
      <c r="E34" s="7" t="s">
        <v>5</v>
      </c>
      <c r="F34" s="7" t="s">
        <v>2594</v>
      </c>
      <c r="G34" s="7" t="s">
        <v>2595</v>
      </c>
      <c r="H34" s="7">
        <f t="shared" si="0"/>
        <v>1</v>
      </c>
    </row>
    <row r="35" spans="1:8" ht="25" customHeight="1" x14ac:dyDescent="0.35">
      <c r="A35" s="7" t="s">
        <v>2596</v>
      </c>
      <c r="B35" s="7" t="s">
        <v>2597</v>
      </c>
      <c r="C35" s="7" t="s">
        <v>4</v>
      </c>
      <c r="D35" s="7">
        <v>20</v>
      </c>
      <c r="E35" s="7" t="s">
        <v>5</v>
      </c>
      <c r="F35" s="7" t="s">
        <v>2598</v>
      </c>
      <c r="G35" s="7" t="s">
        <v>2599</v>
      </c>
      <c r="H35" s="7">
        <f t="shared" si="0"/>
        <v>1</v>
      </c>
    </row>
    <row r="36" spans="1:8" ht="25" customHeight="1" x14ac:dyDescent="0.35">
      <c r="A36" s="7" t="s">
        <v>2600</v>
      </c>
      <c r="B36" s="7" t="s">
        <v>2601</v>
      </c>
      <c r="C36" s="7" t="s">
        <v>4</v>
      </c>
      <c r="D36" s="7">
        <v>20</v>
      </c>
      <c r="E36" s="7" t="s">
        <v>5</v>
      </c>
      <c r="F36" s="7" t="s">
        <v>2602</v>
      </c>
      <c r="G36" s="7" t="s">
        <v>2603</v>
      </c>
      <c r="H36" s="7">
        <f t="shared" si="0"/>
        <v>1</v>
      </c>
    </row>
    <row r="37" spans="1:8" ht="25" customHeight="1" x14ac:dyDescent="0.35">
      <c r="A37" s="7" t="s">
        <v>2604</v>
      </c>
      <c r="B37" s="7" t="s">
        <v>2605</v>
      </c>
      <c r="C37" s="7" t="s">
        <v>4</v>
      </c>
      <c r="D37" s="7">
        <v>20</v>
      </c>
      <c r="E37" s="7" t="s">
        <v>5</v>
      </c>
      <c r="F37" s="7" t="s">
        <v>2606</v>
      </c>
      <c r="G37" s="7" t="s">
        <v>2607</v>
      </c>
      <c r="H37" s="7">
        <f t="shared" si="0"/>
        <v>1</v>
      </c>
    </row>
    <row r="38" spans="1:8" ht="25" customHeight="1" x14ac:dyDescent="0.35">
      <c r="A38" s="7" t="s">
        <v>1656</v>
      </c>
      <c r="B38" s="7" t="s">
        <v>1657</v>
      </c>
      <c r="C38" s="7" t="s">
        <v>4</v>
      </c>
      <c r="D38" s="7">
        <v>20</v>
      </c>
      <c r="E38" s="7" t="s">
        <v>5</v>
      </c>
      <c r="F38" s="7" t="s">
        <v>2608</v>
      </c>
      <c r="G38" s="7" t="s">
        <v>2609</v>
      </c>
      <c r="H38" s="7">
        <f t="shared" si="0"/>
        <v>1</v>
      </c>
    </row>
    <row r="39" spans="1:8" ht="25" customHeight="1" x14ac:dyDescent="0.35">
      <c r="A39" s="7" t="s">
        <v>2057</v>
      </c>
      <c r="B39" s="7" t="s">
        <v>2058</v>
      </c>
      <c r="C39" s="7" t="s">
        <v>4</v>
      </c>
      <c r="D39" s="7">
        <v>20</v>
      </c>
      <c r="E39" s="7" t="s">
        <v>5</v>
      </c>
      <c r="F39" s="7" t="s">
        <v>2610</v>
      </c>
      <c r="G39" s="7" t="s">
        <v>2611</v>
      </c>
      <c r="H39" s="7">
        <f t="shared" si="0"/>
        <v>1</v>
      </c>
    </row>
    <row r="40" spans="1:8" ht="25" customHeight="1" x14ac:dyDescent="0.35">
      <c r="A40" s="7" t="s">
        <v>2612</v>
      </c>
      <c r="B40" s="7" t="s">
        <v>2613</v>
      </c>
      <c r="C40" s="7" t="s">
        <v>4</v>
      </c>
      <c r="D40" s="7">
        <v>20</v>
      </c>
      <c r="E40" s="7" t="s">
        <v>5</v>
      </c>
      <c r="F40" s="7" t="s">
        <v>2614</v>
      </c>
      <c r="G40" s="7" t="s">
        <v>2615</v>
      </c>
      <c r="H40" s="7">
        <f t="shared" si="0"/>
        <v>1</v>
      </c>
    </row>
    <row r="41" spans="1:8" ht="25" customHeight="1" x14ac:dyDescent="0.35">
      <c r="A41" s="7" t="s">
        <v>2616</v>
      </c>
      <c r="B41" s="7" t="s">
        <v>2617</v>
      </c>
      <c r="C41" s="7" t="s">
        <v>4</v>
      </c>
      <c r="D41" s="7">
        <v>20</v>
      </c>
      <c r="E41" s="7" t="s">
        <v>5</v>
      </c>
      <c r="F41" s="7" t="s">
        <v>2618</v>
      </c>
      <c r="G41" s="7" t="s">
        <v>2619</v>
      </c>
      <c r="H41" s="7">
        <f t="shared" si="0"/>
        <v>1</v>
      </c>
    </row>
    <row r="42" spans="1:8" ht="25" customHeight="1" x14ac:dyDescent="0.35">
      <c r="A42" s="7" t="s">
        <v>2620</v>
      </c>
      <c r="B42" s="7" t="s">
        <v>2621</v>
      </c>
      <c r="C42" s="7" t="s">
        <v>4</v>
      </c>
      <c r="D42" s="7">
        <v>20</v>
      </c>
      <c r="E42" s="7" t="s">
        <v>5</v>
      </c>
      <c r="F42" s="7" t="s">
        <v>2622</v>
      </c>
      <c r="G42" s="7" t="s">
        <v>2623</v>
      </c>
      <c r="H42" s="7">
        <f t="shared" si="0"/>
        <v>1</v>
      </c>
    </row>
    <row r="43" spans="1:8" ht="25" customHeight="1" x14ac:dyDescent="0.35">
      <c r="A43" s="7" t="s">
        <v>2624</v>
      </c>
      <c r="B43" s="7" t="s">
        <v>2625</v>
      </c>
      <c r="C43" s="7" t="s">
        <v>4</v>
      </c>
      <c r="D43" s="7">
        <v>20</v>
      </c>
      <c r="E43" s="7" t="s">
        <v>5</v>
      </c>
      <c r="F43" s="7" t="s">
        <v>2626</v>
      </c>
      <c r="G43" s="7" t="s">
        <v>2627</v>
      </c>
      <c r="H43" s="7">
        <f t="shared" si="0"/>
        <v>1</v>
      </c>
    </row>
    <row r="44" spans="1:8" ht="25" customHeight="1" x14ac:dyDescent="0.35">
      <c r="A44" s="7" t="s">
        <v>2628</v>
      </c>
      <c r="B44" s="7" t="s">
        <v>2629</v>
      </c>
      <c r="C44" s="7" t="s">
        <v>4</v>
      </c>
      <c r="D44" s="7">
        <v>20</v>
      </c>
      <c r="E44" s="7" t="s">
        <v>5</v>
      </c>
      <c r="F44" s="7" t="s">
        <v>2630</v>
      </c>
      <c r="G44" s="7" t="s">
        <v>2631</v>
      </c>
      <c r="H44" s="7">
        <f t="shared" si="0"/>
        <v>1</v>
      </c>
    </row>
    <row r="45" spans="1:8" ht="25" customHeight="1" x14ac:dyDescent="0.35">
      <c r="A45" s="7" t="s">
        <v>554</v>
      </c>
      <c r="B45" s="7" t="s">
        <v>555</v>
      </c>
      <c r="C45" s="7" t="s">
        <v>53</v>
      </c>
      <c r="D45" s="7">
        <v>120</v>
      </c>
      <c r="E45" s="7" t="s">
        <v>5</v>
      </c>
      <c r="F45" s="7" t="s">
        <v>2632</v>
      </c>
      <c r="G45" s="7" t="s">
        <v>2633</v>
      </c>
      <c r="H45" s="7">
        <f t="shared" si="0"/>
        <v>6</v>
      </c>
    </row>
    <row r="46" spans="1:8" ht="25" customHeight="1" x14ac:dyDescent="0.35">
      <c r="A46" s="7" t="s">
        <v>2634</v>
      </c>
      <c r="B46" s="7" t="s">
        <v>2635</v>
      </c>
      <c r="C46" s="7" t="s">
        <v>4</v>
      </c>
      <c r="D46" s="7">
        <v>20</v>
      </c>
      <c r="E46" s="7" t="s">
        <v>5</v>
      </c>
      <c r="F46" s="7" t="s">
        <v>2051</v>
      </c>
      <c r="G46" s="7" t="s">
        <v>2636</v>
      </c>
      <c r="H46" s="7">
        <f t="shared" si="0"/>
        <v>1</v>
      </c>
    </row>
    <row r="47" spans="1:8" ht="25" customHeight="1" x14ac:dyDescent="0.35">
      <c r="A47" s="7" t="s">
        <v>349</v>
      </c>
      <c r="B47" s="7" t="s">
        <v>350</v>
      </c>
      <c r="C47" s="7" t="s">
        <v>4</v>
      </c>
      <c r="D47" s="7">
        <v>20</v>
      </c>
      <c r="E47" s="7" t="s">
        <v>5</v>
      </c>
      <c r="F47" s="7" t="s">
        <v>2637</v>
      </c>
      <c r="G47" s="7" t="s">
        <v>2638</v>
      </c>
      <c r="H47" s="7">
        <f t="shared" si="0"/>
        <v>1</v>
      </c>
    </row>
    <row r="48" spans="1:8" ht="25" customHeight="1" x14ac:dyDescent="0.35">
      <c r="A48" s="7" t="s">
        <v>1827</v>
      </c>
      <c r="B48" s="7" t="s">
        <v>1828</v>
      </c>
      <c r="C48" s="7" t="s">
        <v>4</v>
      </c>
      <c r="D48" s="7">
        <v>20</v>
      </c>
      <c r="E48" s="7" t="s">
        <v>5</v>
      </c>
      <c r="F48" s="7" t="s">
        <v>2639</v>
      </c>
      <c r="G48" s="7" t="s">
        <v>2640</v>
      </c>
      <c r="H48" s="7">
        <f t="shared" si="0"/>
        <v>1</v>
      </c>
    </row>
    <row r="49" spans="1:8" ht="25" customHeight="1" x14ac:dyDescent="0.35">
      <c r="A49" s="7" t="s">
        <v>2641</v>
      </c>
      <c r="B49" s="7" t="s">
        <v>2642</v>
      </c>
      <c r="C49" s="7" t="s">
        <v>4</v>
      </c>
      <c r="D49" s="7">
        <v>20</v>
      </c>
      <c r="E49" s="7" t="s">
        <v>5</v>
      </c>
      <c r="F49" s="7" t="s">
        <v>2643</v>
      </c>
      <c r="G49" s="7" t="s">
        <v>2644</v>
      </c>
      <c r="H49" s="7">
        <f t="shared" si="0"/>
        <v>1</v>
      </c>
    </row>
    <row r="50" spans="1:8" ht="25" customHeight="1" x14ac:dyDescent="0.35">
      <c r="A50" s="7" t="s">
        <v>2645</v>
      </c>
      <c r="B50" s="7" t="s">
        <v>2646</v>
      </c>
      <c r="C50" s="7" t="s">
        <v>4</v>
      </c>
      <c r="D50" s="7">
        <v>20</v>
      </c>
      <c r="E50" s="7" t="s">
        <v>5</v>
      </c>
      <c r="F50" s="7" t="s">
        <v>2647</v>
      </c>
      <c r="G50" s="7" t="s">
        <v>2648</v>
      </c>
      <c r="H50" s="7">
        <f t="shared" si="0"/>
        <v>1</v>
      </c>
    </row>
    <row r="51" spans="1:8" ht="25" customHeight="1" x14ac:dyDescent="0.35">
      <c r="A51" s="7" t="s">
        <v>2649</v>
      </c>
      <c r="B51" s="7" t="s">
        <v>2650</v>
      </c>
      <c r="C51" s="7" t="s">
        <v>4</v>
      </c>
      <c r="D51" s="7">
        <v>20</v>
      </c>
      <c r="E51" s="7" t="s">
        <v>5</v>
      </c>
      <c r="F51" s="7" t="s">
        <v>2651</v>
      </c>
      <c r="G51" s="7" t="s">
        <v>2652</v>
      </c>
      <c r="H51" s="7">
        <f t="shared" si="0"/>
        <v>1</v>
      </c>
    </row>
    <row r="52" spans="1:8" ht="25" customHeight="1" x14ac:dyDescent="0.35">
      <c r="A52" s="7" t="s">
        <v>715</v>
      </c>
      <c r="B52" s="7" t="s">
        <v>716</v>
      </c>
      <c r="C52" s="7" t="s">
        <v>4</v>
      </c>
      <c r="D52" s="7">
        <v>20</v>
      </c>
      <c r="E52" s="7" t="s">
        <v>5</v>
      </c>
      <c r="F52" s="7" t="s">
        <v>2653</v>
      </c>
      <c r="G52" s="7" t="s">
        <v>2654</v>
      </c>
      <c r="H52" s="7">
        <f t="shared" si="0"/>
        <v>1</v>
      </c>
    </row>
    <row r="53" spans="1:8" ht="25" customHeight="1" x14ac:dyDescent="0.35">
      <c r="A53" s="7" t="s">
        <v>633</v>
      </c>
      <c r="B53" s="7" t="s">
        <v>634</v>
      </c>
      <c r="C53" s="7" t="s">
        <v>4</v>
      </c>
      <c r="D53" s="7">
        <v>20</v>
      </c>
      <c r="E53" s="7" t="s">
        <v>5</v>
      </c>
      <c r="F53" s="7" t="s">
        <v>2655</v>
      </c>
      <c r="G53" s="7" t="s">
        <v>2656</v>
      </c>
      <c r="H53" s="7">
        <f t="shared" si="0"/>
        <v>1</v>
      </c>
    </row>
    <row r="54" spans="1:8" ht="25" customHeight="1" x14ac:dyDescent="0.35">
      <c r="A54" s="7" t="s">
        <v>637</v>
      </c>
      <c r="B54" s="7" t="s">
        <v>638</v>
      </c>
      <c r="C54" s="7" t="s">
        <v>4</v>
      </c>
      <c r="D54" s="7">
        <v>20</v>
      </c>
      <c r="E54" s="7" t="s">
        <v>5</v>
      </c>
      <c r="F54" s="7" t="s">
        <v>2657</v>
      </c>
      <c r="G54" s="7" t="s">
        <v>2658</v>
      </c>
      <c r="H54" s="7">
        <f t="shared" si="0"/>
        <v>1</v>
      </c>
    </row>
    <row r="55" spans="1:8" x14ac:dyDescent="0.35">
      <c r="G55" s="2" t="s">
        <v>3496</v>
      </c>
      <c r="H55" s="2">
        <f>SUM(H2:H54)</f>
        <v>68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F9E2-CD81-4D85-BC64-79A07E10AF25}">
  <dimension ref="A1:H29"/>
  <sheetViews>
    <sheetView view="pageBreakPreview" topLeftCell="A19" zoomScale="85" zoomScaleNormal="85" zoomScaleSheetLayoutView="85" workbookViewId="0">
      <selection activeCell="H29" sqref="G29:H29"/>
    </sheetView>
  </sheetViews>
  <sheetFormatPr defaultColWidth="36.54296875" defaultRowHeight="16" x14ac:dyDescent="0.35"/>
  <cols>
    <col min="1" max="1" width="15.08984375" style="1" customWidth="1"/>
    <col min="2" max="2" width="44.453125" style="1" bestFit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8.453125" style="1" bestFit="1" customWidth="1"/>
    <col min="8" max="8" width="7.906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2659</v>
      </c>
      <c r="C1" s="6" t="s">
        <v>3480</v>
      </c>
      <c r="D1" s="5" t="s">
        <v>3488</v>
      </c>
      <c r="E1" s="6" t="s">
        <v>3484</v>
      </c>
      <c r="F1" s="6" t="s">
        <v>3481</v>
      </c>
      <c r="G1" s="6" t="s">
        <v>3482</v>
      </c>
      <c r="H1" s="6" t="s">
        <v>3495</v>
      </c>
    </row>
    <row r="2" spans="1:8" ht="25" customHeight="1" x14ac:dyDescent="0.35">
      <c r="A2" s="7" t="s">
        <v>539</v>
      </c>
      <c r="B2" s="7" t="s">
        <v>540</v>
      </c>
      <c r="C2" s="7" t="s">
        <v>4</v>
      </c>
      <c r="D2" s="7">
        <v>15</v>
      </c>
      <c r="E2" s="7" t="s">
        <v>5</v>
      </c>
      <c r="F2" s="7" t="s">
        <v>49</v>
      </c>
      <c r="G2" s="7" t="s">
        <v>2660</v>
      </c>
      <c r="H2" s="7">
        <f>D2/15</f>
        <v>1</v>
      </c>
    </row>
    <row r="3" spans="1:8" ht="25" customHeight="1" x14ac:dyDescent="0.35">
      <c r="A3" s="7" t="s">
        <v>47</v>
      </c>
      <c r="B3" s="7" t="s">
        <v>48</v>
      </c>
      <c r="C3" s="7" t="s">
        <v>4</v>
      </c>
      <c r="D3" s="7">
        <v>15</v>
      </c>
      <c r="E3" s="7" t="s">
        <v>5</v>
      </c>
      <c r="F3" s="7" t="s">
        <v>49</v>
      </c>
      <c r="G3" s="7" t="s">
        <v>2660</v>
      </c>
      <c r="H3" s="7">
        <f t="shared" ref="H3:H28" si="0">D3/15</f>
        <v>1</v>
      </c>
    </row>
    <row r="4" spans="1:8" ht="25" customHeight="1" x14ac:dyDescent="0.35">
      <c r="A4" s="7" t="s">
        <v>2106</v>
      </c>
      <c r="B4" s="7" t="s">
        <v>2107</v>
      </c>
      <c r="C4" s="7" t="s">
        <v>53</v>
      </c>
      <c r="D4" s="7">
        <v>30</v>
      </c>
      <c r="E4" s="7" t="s">
        <v>5</v>
      </c>
      <c r="F4" s="7" t="s">
        <v>2108</v>
      </c>
      <c r="G4" s="7" t="s">
        <v>2109</v>
      </c>
      <c r="H4" s="7">
        <f t="shared" si="0"/>
        <v>2</v>
      </c>
    </row>
    <row r="5" spans="1:8" ht="25" customHeight="1" x14ac:dyDescent="0.35">
      <c r="A5" s="7" t="s">
        <v>2102</v>
      </c>
      <c r="B5" s="7" t="s">
        <v>2103</v>
      </c>
      <c r="C5" s="7" t="s">
        <v>53</v>
      </c>
      <c r="D5" s="7">
        <v>30</v>
      </c>
      <c r="E5" s="7" t="s">
        <v>5</v>
      </c>
      <c r="F5" s="7" t="s">
        <v>2661</v>
      </c>
      <c r="G5" s="7" t="s">
        <v>2662</v>
      </c>
      <c r="H5" s="7">
        <f t="shared" si="0"/>
        <v>2</v>
      </c>
    </row>
    <row r="6" spans="1:8" ht="25" customHeight="1" x14ac:dyDescent="0.35">
      <c r="A6" s="7" t="s">
        <v>2663</v>
      </c>
      <c r="B6" s="7" t="s">
        <v>2664</v>
      </c>
      <c r="C6" s="7" t="s">
        <v>53</v>
      </c>
      <c r="D6" s="7">
        <v>30</v>
      </c>
      <c r="E6" s="7" t="s">
        <v>5</v>
      </c>
      <c r="F6" s="7" t="s">
        <v>2665</v>
      </c>
      <c r="G6" s="7" t="s">
        <v>2666</v>
      </c>
      <c r="H6" s="7">
        <f t="shared" si="0"/>
        <v>2</v>
      </c>
    </row>
    <row r="7" spans="1:8" ht="25" customHeight="1" x14ac:dyDescent="0.35">
      <c r="A7" s="7" t="s">
        <v>2667</v>
      </c>
      <c r="B7" s="7" t="s">
        <v>2668</v>
      </c>
      <c r="C7" s="7" t="s">
        <v>53</v>
      </c>
      <c r="D7" s="7">
        <v>30</v>
      </c>
      <c r="E7" s="7" t="s">
        <v>5</v>
      </c>
      <c r="F7" s="7" t="s">
        <v>2669</v>
      </c>
      <c r="G7" s="7" t="s">
        <v>2670</v>
      </c>
      <c r="H7" s="7">
        <f t="shared" si="0"/>
        <v>2</v>
      </c>
    </row>
    <row r="8" spans="1:8" ht="25" customHeight="1" x14ac:dyDescent="0.35">
      <c r="A8" s="7" t="s">
        <v>2671</v>
      </c>
      <c r="B8" s="7" t="s">
        <v>2672</v>
      </c>
      <c r="C8" s="7" t="s">
        <v>53</v>
      </c>
      <c r="D8" s="7">
        <v>30</v>
      </c>
      <c r="E8" s="7" t="s">
        <v>5</v>
      </c>
      <c r="F8" s="7" t="s">
        <v>2673</v>
      </c>
      <c r="G8" s="7" t="s">
        <v>2674</v>
      </c>
      <c r="H8" s="7">
        <f t="shared" si="0"/>
        <v>2</v>
      </c>
    </row>
    <row r="9" spans="1:8" ht="25" customHeight="1" x14ac:dyDescent="0.35">
      <c r="A9" s="7" t="s">
        <v>2675</v>
      </c>
      <c r="B9" s="7" t="s">
        <v>2676</v>
      </c>
      <c r="C9" s="7" t="s">
        <v>4</v>
      </c>
      <c r="D9" s="7">
        <v>30</v>
      </c>
      <c r="E9" s="7" t="s">
        <v>5</v>
      </c>
      <c r="F9" s="7" t="s">
        <v>2677</v>
      </c>
      <c r="G9" s="7" t="s">
        <v>2678</v>
      </c>
      <c r="H9" s="7">
        <f t="shared" si="0"/>
        <v>2</v>
      </c>
    </row>
    <row r="10" spans="1:8" ht="25" customHeight="1" x14ac:dyDescent="0.35">
      <c r="A10" s="7" t="s">
        <v>2126</v>
      </c>
      <c r="B10" s="7" t="s">
        <v>2127</v>
      </c>
      <c r="C10" s="7" t="s">
        <v>53</v>
      </c>
      <c r="D10" s="7">
        <v>15</v>
      </c>
      <c r="E10" s="7" t="s">
        <v>5</v>
      </c>
      <c r="F10" s="7" t="s">
        <v>2679</v>
      </c>
      <c r="G10" s="7" t="s">
        <v>2680</v>
      </c>
      <c r="H10" s="7">
        <f t="shared" si="0"/>
        <v>1</v>
      </c>
    </row>
    <row r="11" spans="1:8" ht="25" customHeight="1" x14ac:dyDescent="0.35">
      <c r="A11" s="7" t="s">
        <v>2681</v>
      </c>
      <c r="B11" s="7" t="s">
        <v>2682</v>
      </c>
      <c r="C11" s="7" t="s">
        <v>53</v>
      </c>
      <c r="D11" s="7">
        <v>15</v>
      </c>
      <c r="E11" s="7" t="s">
        <v>5</v>
      </c>
      <c r="F11" s="7" t="s">
        <v>2683</v>
      </c>
      <c r="G11" s="7" t="s">
        <v>2684</v>
      </c>
      <c r="H11" s="7">
        <f t="shared" si="0"/>
        <v>1</v>
      </c>
    </row>
    <row r="12" spans="1:8" ht="25" customHeight="1" x14ac:dyDescent="0.35">
      <c r="A12" s="7" t="s">
        <v>2685</v>
      </c>
      <c r="B12" s="7" t="s">
        <v>2686</v>
      </c>
      <c r="C12" s="7" t="s">
        <v>4</v>
      </c>
      <c r="D12" s="7">
        <v>15</v>
      </c>
      <c r="E12" s="7" t="s">
        <v>5</v>
      </c>
      <c r="F12" s="7" t="s">
        <v>2687</v>
      </c>
      <c r="G12" s="7" t="s">
        <v>2688</v>
      </c>
      <c r="H12" s="7">
        <f t="shared" si="0"/>
        <v>1</v>
      </c>
    </row>
    <row r="13" spans="1:8" ht="25" customHeight="1" x14ac:dyDescent="0.35">
      <c r="A13" s="7" t="s">
        <v>2689</v>
      </c>
      <c r="B13" s="7" t="s">
        <v>2690</v>
      </c>
      <c r="C13" s="7" t="s">
        <v>4</v>
      </c>
      <c r="D13" s="7">
        <v>15</v>
      </c>
      <c r="E13" s="7" t="s">
        <v>5</v>
      </c>
      <c r="F13" s="7" t="s">
        <v>2691</v>
      </c>
      <c r="G13" s="7" t="s">
        <v>2692</v>
      </c>
      <c r="H13" s="7">
        <f t="shared" si="0"/>
        <v>1</v>
      </c>
    </row>
    <row r="14" spans="1:8" ht="25" customHeight="1" x14ac:dyDescent="0.35">
      <c r="A14" s="7" t="s">
        <v>1226</v>
      </c>
      <c r="B14" s="7" t="s">
        <v>1227</v>
      </c>
      <c r="C14" s="7" t="s">
        <v>4</v>
      </c>
      <c r="D14" s="7">
        <v>30</v>
      </c>
      <c r="E14" s="7" t="s">
        <v>5</v>
      </c>
      <c r="F14" s="7" t="s">
        <v>2693</v>
      </c>
      <c r="G14" s="7" t="s">
        <v>573</v>
      </c>
      <c r="H14" s="7">
        <f t="shared" si="0"/>
        <v>2</v>
      </c>
    </row>
    <row r="15" spans="1:8" ht="25" customHeight="1" x14ac:dyDescent="0.35">
      <c r="A15" s="7" t="s">
        <v>2616</v>
      </c>
      <c r="B15" s="7" t="s">
        <v>2617</v>
      </c>
      <c r="C15" s="7" t="s">
        <v>4</v>
      </c>
      <c r="D15" s="7">
        <v>30</v>
      </c>
      <c r="E15" s="7" t="s">
        <v>5</v>
      </c>
      <c r="F15" s="7" t="s">
        <v>2694</v>
      </c>
      <c r="G15" s="7" t="s">
        <v>2695</v>
      </c>
      <c r="H15" s="7">
        <f t="shared" si="0"/>
        <v>2</v>
      </c>
    </row>
    <row r="16" spans="1:8" ht="25" customHeight="1" x14ac:dyDescent="0.35">
      <c r="A16" s="7" t="s">
        <v>2696</v>
      </c>
      <c r="B16" s="7" t="s">
        <v>2697</v>
      </c>
      <c r="C16" s="7" t="s">
        <v>4</v>
      </c>
      <c r="D16" s="7">
        <v>30</v>
      </c>
      <c r="E16" s="7" t="s">
        <v>5</v>
      </c>
      <c r="F16" s="7" t="s">
        <v>2698</v>
      </c>
      <c r="G16" s="7" t="s">
        <v>2699</v>
      </c>
      <c r="H16" s="7">
        <f t="shared" si="0"/>
        <v>2</v>
      </c>
    </row>
    <row r="17" spans="1:8" ht="25" customHeight="1" x14ac:dyDescent="0.35">
      <c r="A17" s="7" t="s">
        <v>2612</v>
      </c>
      <c r="B17" s="7" t="s">
        <v>2613</v>
      </c>
      <c r="C17" s="7" t="s">
        <v>4</v>
      </c>
      <c r="D17" s="7">
        <v>30</v>
      </c>
      <c r="E17" s="7" t="s">
        <v>5</v>
      </c>
      <c r="F17" s="7" t="s">
        <v>2700</v>
      </c>
      <c r="G17" s="7" t="s">
        <v>2701</v>
      </c>
      <c r="H17" s="7">
        <f t="shared" si="0"/>
        <v>2</v>
      </c>
    </row>
    <row r="18" spans="1:8" ht="25" customHeight="1" x14ac:dyDescent="0.35">
      <c r="A18" s="7" t="s">
        <v>2702</v>
      </c>
      <c r="B18" s="7" t="s">
        <v>2703</v>
      </c>
      <c r="C18" s="7" t="s">
        <v>4</v>
      </c>
      <c r="D18" s="7">
        <v>30</v>
      </c>
      <c r="E18" s="7" t="s">
        <v>5</v>
      </c>
      <c r="F18" s="7" t="s">
        <v>2704</v>
      </c>
      <c r="G18" s="7" t="s">
        <v>2705</v>
      </c>
      <c r="H18" s="7">
        <f t="shared" si="0"/>
        <v>2</v>
      </c>
    </row>
    <row r="19" spans="1:8" ht="25" customHeight="1" x14ac:dyDescent="0.35">
      <c r="A19" s="7" t="s">
        <v>2706</v>
      </c>
      <c r="B19" s="7" t="s">
        <v>2707</v>
      </c>
      <c r="C19" s="7" t="s">
        <v>53</v>
      </c>
      <c r="D19" s="7">
        <v>45</v>
      </c>
      <c r="E19" s="7" t="s">
        <v>5</v>
      </c>
      <c r="F19" s="7" t="s">
        <v>1415</v>
      </c>
      <c r="G19" s="7" t="s">
        <v>2708</v>
      </c>
      <c r="H19" s="7">
        <f t="shared" si="0"/>
        <v>3</v>
      </c>
    </row>
    <row r="20" spans="1:8" ht="25" customHeight="1" x14ac:dyDescent="0.35">
      <c r="A20" s="7" t="s">
        <v>2319</v>
      </c>
      <c r="B20" s="7" t="s">
        <v>2320</v>
      </c>
      <c r="C20" s="7" t="s">
        <v>53</v>
      </c>
      <c r="D20" s="7">
        <v>15</v>
      </c>
      <c r="E20" s="7" t="s">
        <v>5</v>
      </c>
      <c r="F20" s="7" t="s">
        <v>2709</v>
      </c>
      <c r="G20" s="7" t="s">
        <v>2710</v>
      </c>
      <c r="H20" s="7">
        <f t="shared" si="0"/>
        <v>1</v>
      </c>
    </row>
    <row r="21" spans="1:8" ht="25" customHeight="1" x14ac:dyDescent="0.35">
      <c r="A21" s="7" t="s">
        <v>691</v>
      </c>
      <c r="B21" s="7" t="s">
        <v>692</v>
      </c>
      <c r="C21" s="7" t="s">
        <v>53</v>
      </c>
      <c r="D21" s="7">
        <v>15</v>
      </c>
      <c r="E21" s="7" t="s">
        <v>5</v>
      </c>
      <c r="F21" s="7" t="s">
        <v>693</v>
      </c>
      <c r="G21" s="7" t="s">
        <v>2711</v>
      </c>
      <c r="H21" s="7">
        <f t="shared" si="0"/>
        <v>1</v>
      </c>
    </row>
    <row r="22" spans="1:8" ht="25" customHeight="1" x14ac:dyDescent="0.35">
      <c r="A22" s="7" t="s">
        <v>2712</v>
      </c>
      <c r="B22" s="7" t="s">
        <v>2713</v>
      </c>
      <c r="C22" s="7" t="s">
        <v>4</v>
      </c>
      <c r="D22" s="7">
        <v>15</v>
      </c>
      <c r="E22" s="7" t="s">
        <v>5</v>
      </c>
      <c r="F22" s="7" t="s">
        <v>2714</v>
      </c>
      <c r="G22" s="7" t="s">
        <v>2715</v>
      </c>
      <c r="H22" s="7">
        <f t="shared" si="0"/>
        <v>1</v>
      </c>
    </row>
    <row r="23" spans="1:8" ht="25" customHeight="1" x14ac:dyDescent="0.35">
      <c r="A23" s="7" t="s">
        <v>2079</v>
      </c>
      <c r="B23" s="7" t="s">
        <v>2080</v>
      </c>
      <c r="C23" s="7" t="s">
        <v>53</v>
      </c>
      <c r="D23" s="7">
        <v>15</v>
      </c>
      <c r="E23" s="7" t="s">
        <v>5</v>
      </c>
      <c r="F23" s="7" t="s">
        <v>2081</v>
      </c>
      <c r="G23" s="7" t="s">
        <v>2716</v>
      </c>
      <c r="H23" s="7">
        <f t="shared" si="0"/>
        <v>1</v>
      </c>
    </row>
    <row r="24" spans="1:8" ht="25" customHeight="1" x14ac:dyDescent="0.35">
      <c r="A24" s="7" t="s">
        <v>2717</v>
      </c>
      <c r="B24" s="7" t="s">
        <v>2718</v>
      </c>
      <c r="C24" s="7" t="s">
        <v>53</v>
      </c>
      <c r="D24" s="7">
        <v>15</v>
      </c>
      <c r="E24" s="7" t="s">
        <v>5</v>
      </c>
      <c r="F24" s="7" t="s">
        <v>2081</v>
      </c>
      <c r="G24" s="7" t="s">
        <v>2716</v>
      </c>
      <c r="H24" s="7">
        <f t="shared" si="0"/>
        <v>1</v>
      </c>
    </row>
    <row r="25" spans="1:8" ht="25" customHeight="1" x14ac:dyDescent="0.35">
      <c r="A25" s="7" t="s">
        <v>1271</v>
      </c>
      <c r="B25" s="7" t="s">
        <v>1272</v>
      </c>
      <c r="C25" s="7" t="s">
        <v>53</v>
      </c>
      <c r="D25" s="7">
        <v>15</v>
      </c>
      <c r="E25" s="7" t="s">
        <v>5</v>
      </c>
      <c r="F25" s="7" t="s">
        <v>2081</v>
      </c>
      <c r="G25" s="7" t="s">
        <v>2716</v>
      </c>
      <c r="H25" s="7">
        <f t="shared" si="0"/>
        <v>1</v>
      </c>
    </row>
    <row r="26" spans="1:8" ht="25" customHeight="1" x14ac:dyDescent="0.35">
      <c r="A26" s="7" t="s">
        <v>2097</v>
      </c>
      <c r="B26" s="7" t="s">
        <v>2098</v>
      </c>
      <c r="C26" s="7" t="s">
        <v>4</v>
      </c>
      <c r="D26" s="7">
        <v>15</v>
      </c>
      <c r="E26" s="7" t="s">
        <v>5</v>
      </c>
      <c r="F26" s="7" t="s">
        <v>2099</v>
      </c>
      <c r="G26" s="7" t="s">
        <v>2719</v>
      </c>
      <c r="H26" s="7">
        <f t="shared" si="0"/>
        <v>1</v>
      </c>
    </row>
    <row r="27" spans="1:8" ht="25" customHeight="1" x14ac:dyDescent="0.35">
      <c r="A27" s="7" t="s">
        <v>2093</v>
      </c>
      <c r="B27" s="7" t="s">
        <v>2094</v>
      </c>
      <c r="C27" s="7" t="s">
        <v>4</v>
      </c>
      <c r="D27" s="7">
        <v>15</v>
      </c>
      <c r="E27" s="7" t="s">
        <v>5</v>
      </c>
      <c r="F27" s="7" t="s">
        <v>2095</v>
      </c>
      <c r="G27" s="7" t="s">
        <v>2720</v>
      </c>
      <c r="H27" s="7">
        <f t="shared" si="0"/>
        <v>1</v>
      </c>
    </row>
    <row r="28" spans="1:8" ht="25" customHeight="1" x14ac:dyDescent="0.35">
      <c r="A28" s="7" t="s">
        <v>637</v>
      </c>
      <c r="B28" s="7" t="s">
        <v>638</v>
      </c>
      <c r="C28" s="7" t="s">
        <v>4</v>
      </c>
      <c r="D28" s="7">
        <v>15</v>
      </c>
      <c r="E28" s="7" t="s">
        <v>5</v>
      </c>
      <c r="F28" s="7" t="s">
        <v>639</v>
      </c>
      <c r="G28" s="7" t="s">
        <v>2721</v>
      </c>
      <c r="H28" s="7">
        <f t="shared" si="0"/>
        <v>1</v>
      </c>
    </row>
    <row r="29" spans="1:8" x14ac:dyDescent="0.35">
      <c r="G29" s="2" t="s">
        <v>3496</v>
      </c>
      <c r="H29" s="2">
        <f>SUM(H2:H28)</f>
        <v>40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76D9-BAC3-4022-87F9-41D89C32E338}">
  <dimension ref="A1:H31"/>
  <sheetViews>
    <sheetView view="pageBreakPreview" topLeftCell="A20" zoomScale="85" zoomScaleNormal="85" zoomScaleSheetLayoutView="85" workbookViewId="0">
      <selection activeCell="H31" sqref="G31:H31"/>
    </sheetView>
  </sheetViews>
  <sheetFormatPr defaultColWidth="36.54296875" defaultRowHeight="16" x14ac:dyDescent="0.35"/>
  <cols>
    <col min="1" max="1" width="15.08984375" style="1" customWidth="1"/>
    <col min="2" max="2" width="43.6328125" style="1" bestFit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12.54296875" style="1" bestFit="1" customWidth="1"/>
    <col min="8" max="8" width="7.906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2722</v>
      </c>
      <c r="C1" s="6" t="s">
        <v>3480</v>
      </c>
      <c r="D1" s="5" t="s">
        <v>3488</v>
      </c>
      <c r="E1" s="6" t="s">
        <v>3484</v>
      </c>
      <c r="F1" s="6" t="s">
        <v>3481</v>
      </c>
      <c r="G1" s="6" t="s">
        <v>3482</v>
      </c>
      <c r="H1" s="6" t="s">
        <v>3495</v>
      </c>
    </row>
    <row r="2" spans="1:8" ht="25" customHeight="1" x14ac:dyDescent="0.35">
      <c r="A2" s="7" t="s">
        <v>80</v>
      </c>
      <c r="B2" s="7" t="s">
        <v>81</v>
      </c>
      <c r="C2" s="7" t="s">
        <v>53</v>
      </c>
      <c r="D2" s="7">
        <v>96</v>
      </c>
      <c r="E2" s="7" t="s">
        <v>5</v>
      </c>
      <c r="F2" s="7" t="s">
        <v>82</v>
      </c>
      <c r="G2" s="7" t="s">
        <v>2723</v>
      </c>
      <c r="H2" s="7">
        <f>D2/24</f>
        <v>4</v>
      </c>
    </row>
    <row r="3" spans="1:8" ht="25" customHeight="1" x14ac:dyDescent="0.35">
      <c r="A3" s="7" t="s">
        <v>2724</v>
      </c>
      <c r="B3" s="7" t="s">
        <v>2725</v>
      </c>
      <c r="C3" s="7" t="s">
        <v>53</v>
      </c>
      <c r="D3" s="7">
        <v>24</v>
      </c>
      <c r="E3" s="7" t="s">
        <v>5</v>
      </c>
      <c r="F3" s="7" t="s">
        <v>2367</v>
      </c>
      <c r="G3" s="7" t="s">
        <v>2726</v>
      </c>
      <c r="H3" s="7">
        <f t="shared" ref="H3:H30" si="0">D3/24</f>
        <v>1</v>
      </c>
    </row>
    <row r="4" spans="1:8" ht="25" customHeight="1" x14ac:dyDescent="0.35">
      <c r="A4" s="7" t="s">
        <v>539</v>
      </c>
      <c r="B4" s="7" t="s">
        <v>540</v>
      </c>
      <c r="C4" s="7" t="s">
        <v>4</v>
      </c>
      <c r="D4" s="7">
        <v>24</v>
      </c>
      <c r="E4" s="7" t="s">
        <v>5</v>
      </c>
      <c r="F4" s="7" t="s">
        <v>49</v>
      </c>
      <c r="G4" s="7" t="s">
        <v>2727</v>
      </c>
      <c r="H4" s="7">
        <f t="shared" si="0"/>
        <v>1</v>
      </c>
    </row>
    <row r="5" spans="1:8" ht="25" customHeight="1" x14ac:dyDescent="0.35">
      <c r="A5" s="7" t="s">
        <v>2728</v>
      </c>
      <c r="B5" s="7" t="s">
        <v>2729</v>
      </c>
      <c r="C5" s="7" t="s">
        <v>4</v>
      </c>
      <c r="D5" s="7">
        <v>24</v>
      </c>
      <c r="E5" s="7" t="s">
        <v>5</v>
      </c>
      <c r="F5" s="7" t="s">
        <v>2730</v>
      </c>
      <c r="G5" s="7" t="s">
        <v>2048</v>
      </c>
      <c r="H5" s="7">
        <f t="shared" si="0"/>
        <v>1</v>
      </c>
    </row>
    <row r="6" spans="1:8" ht="25" customHeight="1" x14ac:dyDescent="0.35">
      <c r="A6" s="7" t="s">
        <v>2106</v>
      </c>
      <c r="B6" s="7" t="s">
        <v>2107</v>
      </c>
      <c r="C6" s="7" t="s">
        <v>53</v>
      </c>
      <c r="D6" s="7">
        <v>144</v>
      </c>
      <c r="E6" s="7" t="s">
        <v>5</v>
      </c>
      <c r="F6" s="7" t="s">
        <v>2108</v>
      </c>
      <c r="G6" s="7" t="s">
        <v>2731</v>
      </c>
      <c r="H6" s="7">
        <f t="shared" si="0"/>
        <v>6</v>
      </c>
    </row>
    <row r="7" spans="1:8" ht="25" customHeight="1" x14ac:dyDescent="0.35">
      <c r="A7" s="7" t="s">
        <v>2732</v>
      </c>
      <c r="B7" s="7" t="s">
        <v>2733</v>
      </c>
      <c r="C7" s="7" t="s">
        <v>53</v>
      </c>
      <c r="D7" s="7">
        <v>144</v>
      </c>
      <c r="E7" s="7" t="s">
        <v>5</v>
      </c>
      <c r="F7" s="7" t="s">
        <v>2734</v>
      </c>
      <c r="G7" s="7" t="s">
        <v>2735</v>
      </c>
      <c r="H7" s="7">
        <f t="shared" si="0"/>
        <v>6</v>
      </c>
    </row>
    <row r="8" spans="1:8" ht="25" customHeight="1" x14ac:dyDescent="0.35">
      <c r="A8" s="7" t="s">
        <v>705</v>
      </c>
      <c r="B8" s="7" t="s">
        <v>706</v>
      </c>
      <c r="C8" s="7" t="s">
        <v>53</v>
      </c>
      <c r="D8" s="7">
        <v>24</v>
      </c>
      <c r="E8" s="7" t="s">
        <v>5</v>
      </c>
      <c r="F8" s="7" t="s">
        <v>707</v>
      </c>
      <c r="G8" s="7" t="s">
        <v>2736</v>
      </c>
      <c r="H8" s="7">
        <f t="shared" si="0"/>
        <v>1</v>
      </c>
    </row>
    <row r="9" spans="1:8" ht="25" customHeight="1" x14ac:dyDescent="0.35">
      <c r="A9" s="7" t="s">
        <v>2737</v>
      </c>
      <c r="B9" s="7" t="s">
        <v>2738</v>
      </c>
      <c r="C9" s="7" t="s">
        <v>53</v>
      </c>
      <c r="D9" s="7">
        <v>24</v>
      </c>
      <c r="E9" s="7" t="s">
        <v>5</v>
      </c>
      <c r="F9" s="7" t="s">
        <v>2683</v>
      </c>
      <c r="G9" s="7" t="s">
        <v>2739</v>
      </c>
      <c r="H9" s="7">
        <f t="shared" si="0"/>
        <v>1</v>
      </c>
    </row>
    <row r="10" spans="1:8" ht="25" customHeight="1" x14ac:dyDescent="0.35">
      <c r="A10" s="7" t="s">
        <v>196</v>
      </c>
      <c r="B10" s="7" t="s">
        <v>197</v>
      </c>
      <c r="C10" s="7" t="s">
        <v>53</v>
      </c>
      <c r="D10" s="7">
        <v>24</v>
      </c>
      <c r="E10" s="7" t="s">
        <v>5</v>
      </c>
      <c r="F10" s="7" t="s">
        <v>198</v>
      </c>
      <c r="G10" s="7" t="s">
        <v>2740</v>
      </c>
      <c r="H10" s="7">
        <f t="shared" si="0"/>
        <v>1</v>
      </c>
    </row>
    <row r="11" spans="1:8" ht="25" customHeight="1" x14ac:dyDescent="0.35">
      <c r="A11" s="7" t="s">
        <v>2741</v>
      </c>
      <c r="B11" s="7" t="s">
        <v>2742</v>
      </c>
      <c r="C11" s="7" t="s">
        <v>4</v>
      </c>
      <c r="D11" s="7">
        <v>24</v>
      </c>
      <c r="E11" s="7" t="s">
        <v>5</v>
      </c>
      <c r="F11" s="7" t="s">
        <v>2743</v>
      </c>
      <c r="G11" s="7" t="s">
        <v>2744</v>
      </c>
      <c r="H11" s="7">
        <f t="shared" si="0"/>
        <v>1</v>
      </c>
    </row>
    <row r="12" spans="1:8" ht="25" customHeight="1" x14ac:dyDescent="0.35">
      <c r="A12" s="7" t="s">
        <v>2745</v>
      </c>
      <c r="B12" s="7" t="s">
        <v>2746</v>
      </c>
      <c r="C12" s="7" t="s">
        <v>4</v>
      </c>
      <c r="D12" s="7">
        <v>24</v>
      </c>
      <c r="E12" s="7" t="s">
        <v>5</v>
      </c>
      <c r="F12" s="7" t="s">
        <v>2747</v>
      </c>
      <c r="G12" s="7" t="s">
        <v>2748</v>
      </c>
      <c r="H12" s="7">
        <f t="shared" si="0"/>
        <v>1</v>
      </c>
    </row>
    <row r="13" spans="1:8" ht="25" customHeight="1" x14ac:dyDescent="0.35">
      <c r="A13" s="7" t="s">
        <v>2749</v>
      </c>
      <c r="B13" s="7" t="s">
        <v>2750</v>
      </c>
      <c r="C13" s="7" t="s">
        <v>4</v>
      </c>
      <c r="D13" s="7">
        <v>24</v>
      </c>
      <c r="E13" s="7" t="s">
        <v>5</v>
      </c>
      <c r="F13" s="7" t="s">
        <v>2751</v>
      </c>
      <c r="G13" s="7" t="s">
        <v>2752</v>
      </c>
      <c r="H13" s="7">
        <f t="shared" si="0"/>
        <v>1</v>
      </c>
    </row>
    <row r="14" spans="1:8" ht="25" customHeight="1" x14ac:dyDescent="0.35">
      <c r="A14" s="7" t="s">
        <v>2753</v>
      </c>
      <c r="B14" s="7" t="s">
        <v>2754</v>
      </c>
      <c r="C14" s="7" t="s">
        <v>4</v>
      </c>
      <c r="D14" s="7">
        <v>24</v>
      </c>
      <c r="E14" s="7" t="s">
        <v>5</v>
      </c>
      <c r="F14" s="7" t="s">
        <v>2755</v>
      </c>
      <c r="G14" s="7" t="s">
        <v>2756</v>
      </c>
      <c r="H14" s="7">
        <f t="shared" si="0"/>
        <v>1</v>
      </c>
    </row>
    <row r="15" spans="1:8" ht="25" customHeight="1" x14ac:dyDescent="0.35">
      <c r="A15" s="7" t="s">
        <v>2757</v>
      </c>
      <c r="B15" s="7" t="s">
        <v>2758</v>
      </c>
      <c r="C15" s="7" t="s">
        <v>4</v>
      </c>
      <c r="D15" s="7">
        <v>24</v>
      </c>
      <c r="E15" s="7" t="s">
        <v>5</v>
      </c>
      <c r="F15" s="7" t="s">
        <v>2759</v>
      </c>
      <c r="G15" s="7" t="s">
        <v>2760</v>
      </c>
      <c r="H15" s="7">
        <f t="shared" si="0"/>
        <v>1</v>
      </c>
    </row>
    <row r="16" spans="1:8" ht="25" customHeight="1" x14ac:dyDescent="0.35">
      <c r="A16" s="7" t="s">
        <v>498</v>
      </c>
      <c r="B16" s="7" t="s">
        <v>499</v>
      </c>
      <c r="C16" s="7" t="s">
        <v>500</v>
      </c>
      <c r="D16" s="7">
        <v>24</v>
      </c>
      <c r="E16" s="7" t="s">
        <v>5</v>
      </c>
      <c r="F16" s="7" t="s">
        <v>501</v>
      </c>
      <c r="G16" s="7" t="s">
        <v>2761</v>
      </c>
      <c r="H16" s="7">
        <f t="shared" si="0"/>
        <v>1</v>
      </c>
    </row>
    <row r="17" spans="1:8" ht="25" customHeight="1" x14ac:dyDescent="0.35">
      <c r="A17" s="7" t="s">
        <v>402</v>
      </c>
      <c r="B17" s="7" t="s">
        <v>403</v>
      </c>
      <c r="C17" s="7" t="s">
        <v>4</v>
      </c>
      <c r="D17" s="7">
        <v>24</v>
      </c>
      <c r="E17" s="7" t="s">
        <v>5</v>
      </c>
      <c r="F17" s="7" t="s">
        <v>2762</v>
      </c>
      <c r="G17" s="7" t="s">
        <v>2763</v>
      </c>
      <c r="H17" s="7">
        <f t="shared" si="0"/>
        <v>1</v>
      </c>
    </row>
    <row r="18" spans="1:8" ht="25" customHeight="1" x14ac:dyDescent="0.35">
      <c r="A18" s="7" t="s">
        <v>584</v>
      </c>
      <c r="B18" s="7" t="s">
        <v>585</v>
      </c>
      <c r="C18" s="7" t="s">
        <v>4</v>
      </c>
      <c r="D18" s="7">
        <v>24</v>
      </c>
      <c r="E18" s="7" t="s">
        <v>5</v>
      </c>
      <c r="F18" s="7" t="s">
        <v>586</v>
      </c>
      <c r="G18" s="7" t="s">
        <v>2764</v>
      </c>
      <c r="H18" s="7">
        <f t="shared" si="0"/>
        <v>1</v>
      </c>
    </row>
    <row r="19" spans="1:8" ht="25" customHeight="1" x14ac:dyDescent="0.35">
      <c r="A19" s="7" t="s">
        <v>1144</v>
      </c>
      <c r="B19" s="7" t="s">
        <v>1145</v>
      </c>
      <c r="C19" s="7" t="s">
        <v>53</v>
      </c>
      <c r="D19" s="7">
        <v>48</v>
      </c>
      <c r="E19" s="7" t="s">
        <v>5</v>
      </c>
      <c r="F19" s="7" t="s">
        <v>2765</v>
      </c>
      <c r="G19" s="7" t="s">
        <v>2766</v>
      </c>
      <c r="H19" s="7">
        <f t="shared" si="0"/>
        <v>2</v>
      </c>
    </row>
    <row r="20" spans="1:8" ht="25" customHeight="1" x14ac:dyDescent="0.35">
      <c r="A20" s="7" t="s">
        <v>562</v>
      </c>
      <c r="B20" s="7" t="s">
        <v>563</v>
      </c>
      <c r="C20" s="7" t="s">
        <v>53</v>
      </c>
      <c r="D20" s="7">
        <v>96</v>
      </c>
      <c r="E20" s="7" t="s">
        <v>5</v>
      </c>
      <c r="F20" s="7" t="s">
        <v>564</v>
      </c>
      <c r="G20" s="7" t="s">
        <v>2767</v>
      </c>
      <c r="H20" s="7">
        <f t="shared" si="0"/>
        <v>4</v>
      </c>
    </row>
    <row r="21" spans="1:8" ht="25" customHeight="1" x14ac:dyDescent="0.35">
      <c r="A21" s="7" t="s">
        <v>2768</v>
      </c>
      <c r="B21" s="7" t="s">
        <v>2769</v>
      </c>
      <c r="C21" s="7" t="s">
        <v>4</v>
      </c>
      <c r="D21" s="7">
        <v>48</v>
      </c>
      <c r="E21" s="7" t="s">
        <v>5</v>
      </c>
      <c r="F21" s="7" t="s">
        <v>2770</v>
      </c>
      <c r="G21" s="7" t="s">
        <v>2771</v>
      </c>
      <c r="H21" s="7">
        <f t="shared" si="0"/>
        <v>2</v>
      </c>
    </row>
    <row r="22" spans="1:8" ht="25" customHeight="1" x14ac:dyDescent="0.35">
      <c r="A22" s="7" t="s">
        <v>620</v>
      </c>
      <c r="B22" s="7" t="s">
        <v>621</v>
      </c>
      <c r="C22" s="7" t="s">
        <v>53</v>
      </c>
      <c r="D22" s="7">
        <v>24</v>
      </c>
      <c r="E22" s="7" t="s">
        <v>5</v>
      </c>
      <c r="F22" s="7" t="s">
        <v>622</v>
      </c>
      <c r="G22" s="7" t="s">
        <v>2772</v>
      </c>
      <c r="H22" s="7">
        <f t="shared" si="0"/>
        <v>1</v>
      </c>
    </row>
    <row r="23" spans="1:8" ht="25" customHeight="1" x14ac:dyDescent="0.35">
      <c r="A23" s="7" t="s">
        <v>542</v>
      </c>
      <c r="B23" s="7" t="s">
        <v>543</v>
      </c>
      <c r="C23" s="7" t="s">
        <v>53</v>
      </c>
      <c r="D23" s="7">
        <v>48</v>
      </c>
      <c r="E23" s="7" t="s">
        <v>5</v>
      </c>
      <c r="F23" s="7" t="s">
        <v>544</v>
      </c>
      <c r="G23" s="7" t="s">
        <v>2773</v>
      </c>
      <c r="H23" s="7">
        <f t="shared" si="0"/>
        <v>2</v>
      </c>
    </row>
    <row r="24" spans="1:8" ht="25" customHeight="1" x14ac:dyDescent="0.35">
      <c r="A24" s="7" t="s">
        <v>730</v>
      </c>
      <c r="B24" s="7" t="s">
        <v>731</v>
      </c>
      <c r="C24" s="7" t="s">
        <v>53</v>
      </c>
      <c r="D24" s="7">
        <v>48</v>
      </c>
      <c r="E24" s="7" t="s">
        <v>5</v>
      </c>
      <c r="F24" s="7" t="s">
        <v>206</v>
      </c>
      <c r="G24" s="7" t="s">
        <v>2774</v>
      </c>
      <c r="H24" s="7">
        <f t="shared" si="0"/>
        <v>2</v>
      </c>
    </row>
    <row r="25" spans="1:8" ht="25" customHeight="1" x14ac:dyDescent="0.35">
      <c r="A25" s="7" t="s">
        <v>2775</v>
      </c>
      <c r="B25" s="7" t="s">
        <v>2776</v>
      </c>
      <c r="C25" s="7" t="s">
        <v>4</v>
      </c>
      <c r="D25" s="7">
        <v>24</v>
      </c>
      <c r="E25" s="7" t="s">
        <v>5</v>
      </c>
      <c r="F25" s="7" t="s">
        <v>2777</v>
      </c>
      <c r="G25" s="7" t="s">
        <v>2778</v>
      </c>
      <c r="H25" s="7">
        <f t="shared" si="0"/>
        <v>1</v>
      </c>
    </row>
    <row r="26" spans="1:8" ht="25" customHeight="1" x14ac:dyDescent="0.35">
      <c r="A26" s="7" t="s">
        <v>620</v>
      </c>
      <c r="B26" s="7" t="s">
        <v>621</v>
      </c>
      <c r="C26" s="7" t="s">
        <v>53</v>
      </c>
      <c r="D26" s="7">
        <v>24</v>
      </c>
      <c r="E26" s="7" t="s">
        <v>5</v>
      </c>
      <c r="F26" s="7" t="s">
        <v>622</v>
      </c>
      <c r="G26" s="7" t="s">
        <v>2772</v>
      </c>
      <c r="H26" s="7">
        <f t="shared" si="0"/>
        <v>1</v>
      </c>
    </row>
    <row r="27" spans="1:8" ht="25" customHeight="1" x14ac:dyDescent="0.35">
      <c r="A27" s="7" t="s">
        <v>782</v>
      </c>
      <c r="B27" s="7" t="s">
        <v>783</v>
      </c>
      <c r="C27" s="7" t="s">
        <v>53</v>
      </c>
      <c r="D27" s="7">
        <v>24</v>
      </c>
      <c r="E27" s="7" t="s">
        <v>5</v>
      </c>
      <c r="F27" s="7" t="s">
        <v>2779</v>
      </c>
      <c r="G27" s="7" t="s">
        <v>2780</v>
      </c>
      <c r="H27" s="7">
        <f t="shared" si="0"/>
        <v>1</v>
      </c>
    </row>
    <row r="28" spans="1:8" ht="25" customHeight="1" x14ac:dyDescent="0.35">
      <c r="A28" s="7" t="s">
        <v>1904</v>
      </c>
      <c r="B28" s="7" t="s">
        <v>1905</v>
      </c>
      <c r="C28" s="7" t="s">
        <v>4</v>
      </c>
      <c r="D28" s="7">
        <v>24</v>
      </c>
      <c r="E28" s="7" t="s">
        <v>5</v>
      </c>
      <c r="F28" s="7" t="s">
        <v>2781</v>
      </c>
      <c r="G28" s="7" t="s">
        <v>2782</v>
      </c>
      <c r="H28" s="7">
        <f t="shared" si="0"/>
        <v>1</v>
      </c>
    </row>
    <row r="29" spans="1:8" ht="25" customHeight="1" x14ac:dyDescent="0.35">
      <c r="A29" s="7" t="s">
        <v>2783</v>
      </c>
      <c r="B29" s="7" t="s">
        <v>2784</v>
      </c>
      <c r="C29" s="7" t="s">
        <v>4</v>
      </c>
      <c r="D29" s="7">
        <v>24</v>
      </c>
      <c r="E29" s="7" t="s">
        <v>5</v>
      </c>
      <c r="F29" s="7" t="s">
        <v>2785</v>
      </c>
      <c r="G29" s="7" t="s">
        <v>2786</v>
      </c>
      <c r="H29" s="7">
        <f t="shared" si="0"/>
        <v>1</v>
      </c>
    </row>
    <row r="30" spans="1:8" ht="25" customHeight="1" x14ac:dyDescent="0.35">
      <c r="A30" s="7" t="s">
        <v>1908</v>
      </c>
      <c r="B30" s="7" t="s">
        <v>1909</v>
      </c>
      <c r="C30" s="7" t="s">
        <v>4</v>
      </c>
      <c r="D30" s="7">
        <v>24</v>
      </c>
      <c r="E30" s="7" t="s">
        <v>5</v>
      </c>
      <c r="F30" s="7" t="s">
        <v>2787</v>
      </c>
      <c r="G30" s="7" t="s">
        <v>2788</v>
      </c>
      <c r="H30" s="7">
        <f t="shared" si="0"/>
        <v>1</v>
      </c>
    </row>
    <row r="31" spans="1:8" x14ac:dyDescent="0.35">
      <c r="G31" s="2" t="s">
        <v>3496</v>
      </c>
      <c r="H31" s="2">
        <f>SUM(H2:H30)</f>
        <v>49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9490-00B8-4E72-B7DA-D01FEA1C3859}">
  <dimension ref="A1:H113"/>
  <sheetViews>
    <sheetView view="pageBreakPreview" topLeftCell="A103" zoomScale="85" zoomScaleNormal="85" zoomScaleSheetLayoutView="85" workbookViewId="0">
      <selection activeCell="H113" sqref="G113:H113"/>
    </sheetView>
  </sheetViews>
  <sheetFormatPr defaultColWidth="36.54296875" defaultRowHeight="16" x14ac:dyDescent="0.35"/>
  <cols>
    <col min="1" max="1" width="15.08984375" style="1" customWidth="1"/>
    <col min="2" max="2" width="39.1796875" style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12.54296875" style="1" bestFit="1" customWidth="1"/>
    <col min="8" max="8" width="7.906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2789</v>
      </c>
      <c r="C1" s="6" t="s">
        <v>3480</v>
      </c>
      <c r="D1" s="5" t="s">
        <v>3488</v>
      </c>
      <c r="E1" s="6" t="s">
        <v>3484</v>
      </c>
      <c r="F1" s="6" t="s">
        <v>3481</v>
      </c>
      <c r="G1" s="6" t="s">
        <v>3482</v>
      </c>
      <c r="H1" s="6" t="s">
        <v>3495</v>
      </c>
    </row>
    <row r="2" spans="1:8" ht="25" customHeight="1" x14ac:dyDescent="0.35">
      <c r="A2" s="7" t="s">
        <v>2790</v>
      </c>
      <c r="B2" s="7" t="s">
        <v>2791</v>
      </c>
      <c r="C2" s="7" t="s">
        <v>4</v>
      </c>
      <c r="D2" s="7">
        <v>6</v>
      </c>
      <c r="E2" s="7" t="s">
        <v>5</v>
      </c>
      <c r="F2" s="7" t="s">
        <v>2792</v>
      </c>
      <c r="G2" s="7" t="s">
        <v>2793</v>
      </c>
      <c r="H2" s="7">
        <f>D2/6</f>
        <v>1</v>
      </c>
    </row>
    <row r="3" spans="1:8" ht="25" customHeight="1" x14ac:dyDescent="0.35">
      <c r="A3" s="7" t="s">
        <v>2794</v>
      </c>
      <c r="B3" s="7" t="s">
        <v>2795</v>
      </c>
      <c r="C3" s="7" t="s">
        <v>4</v>
      </c>
      <c r="D3" s="7">
        <v>6</v>
      </c>
      <c r="E3" s="7" t="s">
        <v>5</v>
      </c>
      <c r="F3" s="7" t="s">
        <v>2796</v>
      </c>
      <c r="G3" s="7" t="s">
        <v>2797</v>
      </c>
      <c r="H3" s="7">
        <f t="shared" ref="H3:H66" si="0">D3/6</f>
        <v>1</v>
      </c>
    </row>
    <row r="4" spans="1:8" ht="25" customHeight="1" x14ac:dyDescent="0.35">
      <c r="A4" s="7" t="s">
        <v>2798</v>
      </c>
      <c r="B4" s="7" t="s">
        <v>2799</v>
      </c>
      <c r="C4" s="7" t="s">
        <v>4</v>
      </c>
      <c r="D4" s="7">
        <v>6</v>
      </c>
      <c r="E4" s="7" t="s">
        <v>5</v>
      </c>
      <c r="F4" s="7" t="s">
        <v>2800</v>
      </c>
      <c r="G4" s="7" t="s">
        <v>2801</v>
      </c>
      <c r="H4" s="7">
        <f t="shared" si="0"/>
        <v>1</v>
      </c>
    </row>
    <row r="5" spans="1:8" ht="25" customHeight="1" x14ac:dyDescent="0.35">
      <c r="A5" s="7" t="s">
        <v>2802</v>
      </c>
      <c r="B5" s="7" t="s">
        <v>2803</v>
      </c>
      <c r="C5" s="7" t="s">
        <v>4</v>
      </c>
      <c r="D5" s="7">
        <v>6</v>
      </c>
      <c r="E5" s="7" t="s">
        <v>5</v>
      </c>
      <c r="F5" s="7" t="s">
        <v>2804</v>
      </c>
      <c r="G5" s="7" t="s">
        <v>2805</v>
      </c>
      <c r="H5" s="7">
        <f t="shared" si="0"/>
        <v>1</v>
      </c>
    </row>
    <row r="6" spans="1:8" ht="25" customHeight="1" x14ac:dyDescent="0.35">
      <c r="A6" s="7" t="s">
        <v>2806</v>
      </c>
      <c r="B6" s="7" t="s">
        <v>2807</v>
      </c>
      <c r="C6" s="7" t="s">
        <v>4</v>
      </c>
      <c r="D6" s="7">
        <v>6</v>
      </c>
      <c r="E6" s="7" t="s">
        <v>5</v>
      </c>
      <c r="F6" s="7" t="s">
        <v>2808</v>
      </c>
      <c r="G6" s="7" t="s">
        <v>2809</v>
      </c>
      <c r="H6" s="7">
        <f t="shared" si="0"/>
        <v>1</v>
      </c>
    </row>
    <row r="7" spans="1:8" ht="25" customHeight="1" x14ac:dyDescent="0.35">
      <c r="A7" s="7" t="s">
        <v>2810</v>
      </c>
      <c r="B7" s="7" t="s">
        <v>2811</v>
      </c>
      <c r="C7" s="7" t="s">
        <v>4</v>
      </c>
      <c r="D7" s="7">
        <v>6</v>
      </c>
      <c r="E7" s="7" t="s">
        <v>5</v>
      </c>
      <c r="F7" s="7" t="s">
        <v>2812</v>
      </c>
      <c r="G7" s="7" t="s">
        <v>2813</v>
      </c>
      <c r="H7" s="7">
        <f t="shared" si="0"/>
        <v>1</v>
      </c>
    </row>
    <row r="8" spans="1:8" ht="25" customHeight="1" x14ac:dyDescent="0.35">
      <c r="A8" s="7" t="s">
        <v>2292</v>
      </c>
      <c r="B8" s="7" t="s">
        <v>2293</v>
      </c>
      <c r="C8" s="7" t="s">
        <v>4</v>
      </c>
      <c r="D8" s="7">
        <v>60</v>
      </c>
      <c r="E8" s="7" t="s">
        <v>5</v>
      </c>
      <c r="F8" s="7" t="s">
        <v>947</v>
      </c>
      <c r="G8" s="7" t="s">
        <v>2814</v>
      </c>
      <c r="H8" s="7">
        <f t="shared" si="0"/>
        <v>10</v>
      </c>
    </row>
    <row r="9" spans="1:8" ht="25" customHeight="1" x14ac:dyDescent="0.35">
      <c r="A9" s="7" t="s">
        <v>2296</v>
      </c>
      <c r="B9" s="7" t="s">
        <v>2297</v>
      </c>
      <c r="C9" s="7" t="s">
        <v>4</v>
      </c>
      <c r="D9" s="7">
        <v>12</v>
      </c>
      <c r="E9" s="7" t="s">
        <v>5</v>
      </c>
      <c r="F9" s="7" t="s">
        <v>847</v>
      </c>
      <c r="G9" s="7" t="s">
        <v>199</v>
      </c>
      <c r="H9" s="7">
        <f t="shared" si="0"/>
        <v>2</v>
      </c>
    </row>
    <row r="10" spans="1:8" ht="25" customHeight="1" x14ac:dyDescent="0.35">
      <c r="A10" s="7" t="s">
        <v>2815</v>
      </c>
      <c r="B10" s="7" t="s">
        <v>2816</v>
      </c>
      <c r="C10" s="7" t="s">
        <v>4</v>
      </c>
      <c r="D10" s="7">
        <v>12</v>
      </c>
      <c r="E10" s="7" t="s">
        <v>5</v>
      </c>
      <c r="F10" s="7" t="s">
        <v>2817</v>
      </c>
      <c r="G10" s="7" t="s">
        <v>2818</v>
      </c>
      <c r="H10" s="7">
        <f t="shared" si="0"/>
        <v>2</v>
      </c>
    </row>
    <row r="11" spans="1:8" ht="25" customHeight="1" x14ac:dyDescent="0.35">
      <c r="A11" s="7" t="s">
        <v>47</v>
      </c>
      <c r="B11" s="7" t="s">
        <v>48</v>
      </c>
      <c r="C11" s="7" t="s">
        <v>4</v>
      </c>
      <c r="D11" s="7">
        <v>6</v>
      </c>
      <c r="E11" s="7" t="s">
        <v>5</v>
      </c>
      <c r="F11" s="7" t="s">
        <v>2819</v>
      </c>
      <c r="G11" s="7" t="s">
        <v>2820</v>
      </c>
      <c r="H11" s="7">
        <f t="shared" si="0"/>
        <v>1</v>
      </c>
    </row>
    <row r="12" spans="1:8" ht="25" customHeight="1" x14ac:dyDescent="0.35">
      <c r="A12" s="7" t="s">
        <v>2278</v>
      </c>
      <c r="B12" s="7" t="s">
        <v>2279</v>
      </c>
      <c r="C12" s="7" t="s">
        <v>4</v>
      </c>
      <c r="D12" s="7">
        <v>6</v>
      </c>
      <c r="E12" s="7" t="s">
        <v>5</v>
      </c>
      <c r="F12" s="7" t="s">
        <v>2821</v>
      </c>
      <c r="G12" s="7" t="s">
        <v>2822</v>
      </c>
      <c r="H12" s="7">
        <f t="shared" si="0"/>
        <v>1</v>
      </c>
    </row>
    <row r="13" spans="1:8" ht="25" customHeight="1" x14ac:dyDescent="0.35">
      <c r="A13" s="7" t="s">
        <v>929</v>
      </c>
      <c r="B13" s="7" t="s">
        <v>930</v>
      </c>
      <c r="C13" s="7" t="s">
        <v>4</v>
      </c>
      <c r="D13" s="7">
        <v>6</v>
      </c>
      <c r="E13" s="7" t="s">
        <v>5</v>
      </c>
      <c r="F13" s="7" t="s">
        <v>2823</v>
      </c>
      <c r="G13" s="7" t="s">
        <v>2824</v>
      </c>
      <c r="H13" s="7">
        <f t="shared" si="0"/>
        <v>1</v>
      </c>
    </row>
    <row r="14" spans="1:8" ht="25" customHeight="1" x14ac:dyDescent="0.35">
      <c r="A14" s="7" t="s">
        <v>2825</v>
      </c>
      <c r="B14" s="7" t="s">
        <v>2826</v>
      </c>
      <c r="C14" s="7" t="s">
        <v>53</v>
      </c>
      <c r="D14" s="7">
        <v>6</v>
      </c>
      <c r="E14" s="7" t="s">
        <v>5</v>
      </c>
      <c r="F14" s="7" t="s">
        <v>2827</v>
      </c>
      <c r="G14" s="7" t="s">
        <v>2828</v>
      </c>
      <c r="H14" s="7">
        <f t="shared" si="0"/>
        <v>1</v>
      </c>
    </row>
    <row r="15" spans="1:8" ht="25" customHeight="1" x14ac:dyDescent="0.35">
      <c r="A15" s="7" t="s">
        <v>2039</v>
      </c>
      <c r="B15" s="7" t="s">
        <v>2040</v>
      </c>
      <c r="C15" s="7" t="s">
        <v>4</v>
      </c>
      <c r="D15" s="7">
        <v>6</v>
      </c>
      <c r="E15" s="7" t="s">
        <v>5</v>
      </c>
      <c r="F15" s="7" t="s">
        <v>2829</v>
      </c>
      <c r="G15" s="7" t="s">
        <v>2830</v>
      </c>
      <c r="H15" s="7">
        <f t="shared" si="0"/>
        <v>1</v>
      </c>
    </row>
    <row r="16" spans="1:8" ht="25" customHeight="1" x14ac:dyDescent="0.35">
      <c r="A16" s="7" t="s">
        <v>2288</v>
      </c>
      <c r="B16" s="7" t="s">
        <v>2289</v>
      </c>
      <c r="C16" s="7" t="s">
        <v>53</v>
      </c>
      <c r="D16" s="7">
        <v>6</v>
      </c>
      <c r="E16" s="7" t="s">
        <v>5</v>
      </c>
      <c r="F16" s="7" t="s">
        <v>2831</v>
      </c>
      <c r="G16" s="7" t="s">
        <v>2832</v>
      </c>
      <c r="H16" s="7">
        <f t="shared" si="0"/>
        <v>1</v>
      </c>
    </row>
    <row r="17" spans="1:8" ht="25" customHeight="1" x14ac:dyDescent="0.35">
      <c r="A17" s="7" t="s">
        <v>2833</v>
      </c>
      <c r="B17" s="7" t="s">
        <v>2834</v>
      </c>
      <c r="C17" s="7" t="s">
        <v>53</v>
      </c>
      <c r="D17" s="7">
        <v>6</v>
      </c>
      <c r="E17" s="7" t="s">
        <v>5</v>
      </c>
      <c r="F17" s="7" t="s">
        <v>2835</v>
      </c>
      <c r="G17" s="7" t="s">
        <v>2836</v>
      </c>
      <c r="H17" s="7">
        <f t="shared" si="0"/>
        <v>1</v>
      </c>
    </row>
    <row r="18" spans="1:8" ht="25" customHeight="1" x14ac:dyDescent="0.35">
      <c r="A18" s="7" t="s">
        <v>2837</v>
      </c>
      <c r="B18" s="7" t="s">
        <v>2838</v>
      </c>
      <c r="C18" s="7" t="s">
        <v>53</v>
      </c>
      <c r="D18" s="7">
        <v>6</v>
      </c>
      <c r="E18" s="7" t="s">
        <v>5</v>
      </c>
      <c r="F18" s="7" t="s">
        <v>2835</v>
      </c>
      <c r="G18" s="7" t="s">
        <v>2836</v>
      </c>
      <c r="H18" s="7">
        <f t="shared" si="0"/>
        <v>1</v>
      </c>
    </row>
    <row r="19" spans="1:8" ht="25" customHeight="1" x14ac:dyDescent="0.35">
      <c r="A19" s="7" t="s">
        <v>841</v>
      </c>
      <c r="B19" s="7" t="s">
        <v>842</v>
      </c>
      <c r="C19" s="7" t="s">
        <v>53</v>
      </c>
      <c r="D19" s="7">
        <v>6</v>
      </c>
      <c r="E19" s="7" t="s">
        <v>5</v>
      </c>
      <c r="F19" s="7" t="s">
        <v>2839</v>
      </c>
      <c r="G19" s="7" t="s">
        <v>2840</v>
      </c>
      <c r="H19" s="7">
        <f t="shared" si="0"/>
        <v>1</v>
      </c>
    </row>
    <row r="20" spans="1:8" ht="25" customHeight="1" x14ac:dyDescent="0.35">
      <c r="A20" s="7" t="s">
        <v>837</v>
      </c>
      <c r="B20" s="7" t="s">
        <v>838</v>
      </c>
      <c r="C20" s="7" t="s">
        <v>53</v>
      </c>
      <c r="D20" s="7">
        <v>6</v>
      </c>
      <c r="E20" s="7" t="s">
        <v>5</v>
      </c>
      <c r="F20" s="7" t="s">
        <v>2841</v>
      </c>
      <c r="G20" s="7" t="s">
        <v>2842</v>
      </c>
      <c r="H20" s="7">
        <f t="shared" si="0"/>
        <v>1</v>
      </c>
    </row>
    <row r="21" spans="1:8" ht="25" customHeight="1" x14ac:dyDescent="0.35">
      <c r="A21" s="7" t="s">
        <v>2843</v>
      </c>
      <c r="B21" s="7" t="s">
        <v>2844</v>
      </c>
      <c r="C21" s="7" t="s">
        <v>53</v>
      </c>
      <c r="D21" s="7">
        <v>6</v>
      </c>
      <c r="E21" s="7" t="s">
        <v>5</v>
      </c>
      <c r="F21" s="7" t="s">
        <v>2845</v>
      </c>
      <c r="G21" s="7" t="s">
        <v>2846</v>
      </c>
      <c r="H21" s="7">
        <f t="shared" si="0"/>
        <v>1</v>
      </c>
    </row>
    <row r="22" spans="1:8" ht="25" customHeight="1" x14ac:dyDescent="0.35">
      <c r="A22" s="7" t="s">
        <v>2847</v>
      </c>
      <c r="B22" s="7" t="s">
        <v>2848</v>
      </c>
      <c r="C22" s="7" t="s">
        <v>4</v>
      </c>
      <c r="D22" s="7">
        <v>6</v>
      </c>
      <c r="E22" s="7" t="s">
        <v>5</v>
      </c>
      <c r="F22" s="7" t="s">
        <v>2849</v>
      </c>
      <c r="G22" s="7" t="s">
        <v>2850</v>
      </c>
      <c r="H22" s="7">
        <f t="shared" si="0"/>
        <v>1</v>
      </c>
    </row>
    <row r="23" spans="1:8" ht="25" customHeight="1" x14ac:dyDescent="0.35">
      <c r="A23" s="7" t="s">
        <v>600</v>
      </c>
      <c r="B23" s="7" t="s">
        <v>601</v>
      </c>
      <c r="C23" s="7" t="s">
        <v>53</v>
      </c>
      <c r="D23" s="7">
        <v>12</v>
      </c>
      <c r="E23" s="7" t="s">
        <v>5</v>
      </c>
      <c r="F23" s="7" t="s">
        <v>2851</v>
      </c>
      <c r="G23" s="7" t="s">
        <v>413</v>
      </c>
      <c r="H23" s="7">
        <f t="shared" si="0"/>
        <v>2</v>
      </c>
    </row>
    <row r="24" spans="1:8" ht="25" customHeight="1" x14ac:dyDescent="0.35">
      <c r="A24" s="7" t="s">
        <v>2852</v>
      </c>
      <c r="B24" s="7" t="s">
        <v>2853</v>
      </c>
      <c r="C24" s="7" t="s">
        <v>4</v>
      </c>
      <c r="D24" s="7">
        <v>6</v>
      </c>
      <c r="E24" s="7" t="s">
        <v>5</v>
      </c>
      <c r="F24" s="7" t="s">
        <v>2854</v>
      </c>
      <c r="G24" s="7" t="s">
        <v>2855</v>
      </c>
      <c r="H24" s="7">
        <f t="shared" si="0"/>
        <v>1</v>
      </c>
    </row>
    <row r="25" spans="1:8" ht="25" customHeight="1" x14ac:dyDescent="0.35">
      <c r="A25" s="7" t="s">
        <v>2856</v>
      </c>
      <c r="B25" s="7" t="s">
        <v>2857</v>
      </c>
      <c r="C25" s="7" t="s">
        <v>53</v>
      </c>
      <c r="D25" s="7">
        <v>12</v>
      </c>
      <c r="E25" s="7" t="s">
        <v>5</v>
      </c>
      <c r="F25" s="7" t="s">
        <v>2858</v>
      </c>
      <c r="G25" s="7" t="s">
        <v>2859</v>
      </c>
      <c r="H25" s="7">
        <f t="shared" si="0"/>
        <v>2</v>
      </c>
    </row>
    <row r="26" spans="1:8" ht="25" customHeight="1" x14ac:dyDescent="0.35">
      <c r="A26" s="7" t="s">
        <v>1973</v>
      </c>
      <c r="B26" s="7" t="s">
        <v>1974</v>
      </c>
      <c r="C26" s="7" t="s">
        <v>53</v>
      </c>
      <c r="D26" s="7">
        <v>18</v>
      </c>
      <c r="E26" s="7" t="s">
        <v>5</v>
      </c>
      <c r="F26" s="7" t="s">
        <v>2860</v>
      </c>
      <c r="G26" s="7" t="s">
        <v>2861</v>
      </c>
      <c r="H26" s="7">
        <f t="shared" si="0"/>
        <v>3</v>
      </c>
    </row>
    <row r="27" spans="1:8" ht="25" customHeight="1" x14ac:dyDescent="0.35">
      <c r="A27" s="7" t="s">
        <v>192</v>
      </c>
      <c r="B27" s="7" t="s">
        <v>193</v>
      </c>
      <c r="C27" s="7" t="s">
        <v>4</v>
      </c>
      <c r="D27" s="7">
        <v>12</v>
      </c>
      <c r="E27" s="7" t="s">
        <v>5</v>
      </c>
      <c r="F27" s="7" t="s">
        <v>2862</v>
      </c>
      <c r="G27" s="7" t="s">
        <v>2863</v>
      </c>
      <c r="H27" s="7">
        <f t="shared" si="0"/>
        <v>2</v>
      </c>
    </row>
    <row r="28" spans="1:8" ht="25" customHeight="1" x14ac:dyDescent="0.35">
      <c r="A28" s="7" t="s">
        <v>2864</v>
      </c>
      <c r="B28" s="7" t="s">
        <v>2865</v>
      </c>
      <c r="C28" s="7" t="s">
        <v>4</v>
      </c>
      <c r="D28" s="7">
        <v>6</v>
      </c>
      <c r="E28" s="7" t="s">
        <v>5</v>
      </c>
      <c r="F28" s="7" t="s">
        <v>2866</v>
      </c>
      <c r="G28" s="7" t="s">
        <v>2867</v>
      </c>
      <c r="H28" s="7">
        <f t="shared" si="0"/>
        <v>1</v>
      </c>
    </row>
    <row r="29" spans="1:8" ht="25" customHeight="1" x14ac:dyDescent="0.35">
      <c r="A29" s="7" t="s">
        <v>720</v>
      </c>
      <c r="B29" s="7" t="s">
        <v>721</v>
      </c>
      <c r="C29" s="7" t="s">
        <v>53</v>
      </c>
      <c r="D29" s="7">
        <v>60</v>
      </c>
      <c r="E29" s="7" t="s">
        <v>5</v>
      </c>
      <c r="F29" s="7" t="s">
        <v>2868</v>
      </c>
      <c r="G29" s="7" t="s">
        <v>2869</v>
      </c>
      <c r="H29" s="7">
        <f t="shared" si="0"/>
        <v>10</v>
      </c>
    </row>
    <row r="30" spans="1:8" ht="25" customHeight="1" x14ac:dyDescent="0.35">
      <c r="A30" s="7" t="s">
        <v>724</v>
      </c>
      <c r="B30" s="7" t="s">
        <v>725</v>
      </c>
      <c r="C30" s="7" t="s">
        <v>53</v>
      </c>
      <c r="D30" s="7">
        <v>60</v>
      </c>
      <c r="E30" s="7" t="s">
        <v>5</v>
      </c>
      <c r="F30" s="7" t="s">
        <v>2870</v>
      </c>
      <c r="G30" s="7" t="s">
        <v>2871</v>
      </c>
      <c r="H30" s="7">
        <f t="shared" si="0"/>
        <v>10</v>
      </c>
    </row>
    <row r="31" spans="1:8" ht="25" customHeight="1" x14ac:dyDescent="0.35">
      <c r="A31" s="7" t="s">
        <v>2102</v>
      </c>
      <c r="B31" s="7" t="s">
        <v>2103</v>
      </c>
      <c r="C31" s="7" t="s">
        <v>53</v>
      </c>
      <c r="D31" s="7">
        <v>30</v>
      </c>
      <c r="E31" s="7" t="s">
        <v>5</v>
      </c>
      <c r="F31" s="7" t="s">
        <v>2872</v>
      </c>
      <c r="G31" s="7" t="s">
        <v>2873</v>
      </c>
      <c r="H31" s="7">
        <f t="shared" si="0"/>
        <v>5</v>
      </c>
    </row>
    <row r="32" spans="1:8" ht="25" customHeight="1" x14ac:dyDescent="0.35">
      <c r="A32" s="7" t="s">
        <v>2106</v>
      </c>
      <c r="B32" s="7" t="s">
        <v>2107</v>
      </c>
      <c r="C32" s="7" t="s">
        <v>53</v>
      </c>
      <c r="D32" s="7">
        <v>30</v>
      </c>
      <c r="E32" s="7" t="s">
        <v>5</v>
      </c>
      <c r="F32" s="7" t="s">
        <v>1640</v>
      </c>
      <c r="G32" s="7" t="s">
        <v>2874</v>
      </c>
      <c r="H32" s="7">
        <f t="shared" si="0"/>
        <v>5</v>
      </c>
    </row>
    <row r="33" spans="1:8" ht="25" customHeight="1" x14ac:dyDescent="0.35">
      <c r="A33" s="7" t="s">
        <v>665</v>
      </c>
      <c r="B33" s="7" t="s">
        <v>666</v>
      </c>
      <c r="C33" s="7" t="s">
        <v>53</v>
      </c>
      <c r="D33" s="7">
        <v>30</v>
      </c>
      <c r="E33" s="7" t="s">
        <v>5</v>
      </c>
      <c r="F33" s="7" t="s">
        <v>2875</v>
      </c>
      <c r="G33" s="7" t="s">
        <v>2876</v>
      </c>
      <c r="H33" s="7">
        <f t="shared" si="0"/>
        <v>5</v>
      </c>
    </row>
    <row r="34" spans="1:8" ht="25" customHeight="1" x14ac:dyDescent="0.35">
      <c r="A34" s="7" t="s">
        <v>80</v>
      </c>
      <c r="B34" s="7" t="s">
        <v>81</v>
      </c>
      <c r="C34" s="7" t="s">
        <v>53</v>
      </c>
      <c r="D34" s="7">
        <v>30</v>
      </c>
      <c r="E34" s="7" t="s">
        <v>5</v>
      </c>
      <c r="F34" s="7" t="s">
        <v>2875</v>
      </c>
      <c r="G34" s="7" t="s">
        <v>2876</v>
      </c>
      <c r="H34" s="7">
        <f t="shared" si="0"/>
        <v>5</v>
      </c>
    </row>
    <row r="35" spans="1:8" ht="25" customHeight="1" x14ac:dyDescent="0.35">
      <c r="A35" s="7" t="s">
        <v>2877</v>
      </c>
      <c r="B35" s="7" t="s">
        <v>2878</v>
      </c>
      <c r="C35" s="7" t="s">
        <v>4</v>
      </c>
      <c r="D35" s="7">
        <v>6</v>
      </c>
      <c r="E35" s="7" t="s">
        <v>5</v>
      </c>
      <c r="F35" s="7" t="s">
        <v>2879</v>
      </c>
      <c r="G35" s="7" t="s">
        <v>2880</v>
      </c>
      <c r="H35" s="7">
        <f t="shared" si="0"/>
        <v>1</v>
      </c>
    </row>
    <row r="36" spans="1:8" ht="25" customHeight="1" x14ac:dyDescent="0.35">
      <c r="A36" s="7" t="s">
        <v>2881</v>
      </c>
      <c r="B36" s="7" t="s">
        <v>2882</v>
      </c>
      <c r="C36" s="7" t="s">
        <v>4</v>
      </c>
      <c r="D36" s="7">
        <v>6</v>
      </c>
      <c r="E36" s="7" t="s">
        <v>5</v>
      </c>
      <c r="F36" s="7" t="s">
        <v>2883</v>
      </c>
      <c r="G36" s="7" t="s">
        <v>2884</v>
      </c>
      <c r="H36" s="7">
        <f t="shared" si="0"/>
        <v>1</v>
      </c>
    </row>
    <row r="37" spans="1:8" ht="25" customHeight="1" x14ac:dyDescent="0.35">
      <c r="A37" s="7" t="s">
        <v>1098</v>
      </c>
      <c r="B37" s="7" t="s">
        <v>1099</v>
      </c>
      <c r="C37" s="7" t="s">
        <v>53</v>
      </c>
      <c r="D37" s="7">
        <v>6</v>
      </c>
      <c r="E37" s="7" t="s">
        <v>5</v>
      </c>
      <c r="F37" s="7" t="s">
        <v>2885</v>
      </c>
      <c r="G37" s="7" t="s">
        <v>2886</v>
      </c>
      <c r="H37" s="7">
        <f t="shared" si="0"/>
        <v>1</v>
      </c>
    </row>
    <row r="38" spans="1:8" ht="25" customHeight="1" x14ac:dyDescent="0.35">
      <c r="A38" s="7" t="s">
        <v>2887</v>
      </c>
      <c r="B38" s="7" t="s">
        <v>2888</v>
      </c>
      <c r="C38" s="7" t="s">
        <v>4</v>
      </c>
      <c r="D38" s="7">
        <v>6</v>
      </c>
      <c r="E38" s="7" t="s">
        <v>5</v>
      </c>
      <c r="F38" s="7" t="s">
        <v>2889</v>
      </c>
      <c r="G38" s="7" t="s">
        <v>2890</v>
      </c>
      <c r="H38" s="7">
        <f t="shared" si="0"/>
        <v>1</v>
      </c>
    </row>
    <row r="39" spans="1:8" ht="25" customHeight="1" x14ac:dyDescent="0.35">
      <c r="A39" s="7" t="s">
        <v>762</v>
      </c>
      <c r="B39" s="7" t="s">
        <v>763</v>
      </c>
      <c r="C39" s="7" t="s">
        <v>4</v>
      </c>
      <c r="D39" s="7">
        <v>6</v>
      </c>
      <c r="E39" s="7" t="s">
        <v>5</v>
      </c>
      <c r="F39" s="7" t="s">
        <v>2891</v>
      </c>
      <c r="G39" s="7" t="s">
        <v>2892</v>
      </c>
      <c r="H39" s="7">
        <f t="shared" si="0"/>
        <v>1</v>
      </c>
    </row>
    <row r="40" spans="1:8" ht="25" customHeight="1" x14ac:dyDescent="0.35">
      <c r="A40" s="7" t="s">
        <v>2893</v>
      </c>
      <c r="B40" s="7" t="s">
        <v>2894</v>
      </c>
      <c r="C40" s="7" t="s">
        <v>4</v>
      </c>
      <c r="D40" s="7">
        <v>6</v>
      </c>
      <c r="E40" s="7" t="s">
        <v>5</v>
      </c>
      <c r="F40" s="7" t="s">
        <v>2895</v>
      </c>
      <c r="G40" s="7" t="s">
        <v>2896</v>
      </c>
      <c r="H40" s="7">
        <f t="shared" si="0"/>
        <v>1</v>
      </c>
    </row>
    <row r="41" spans="1:8" ht="25" customHeight="1" x14ac:dyDescent="0.35">
      <c r="A41" s="7" t="s">
        <v>2360</v>
      </c>
      <c r="B41" s="7" t="s">
        <v>2361</v>
      </c>
      <c r="C41" s="7" t="s">
        <v>4</v>
      </c>
      <c r="D41" s="7">
        <v>12</v>
      </c>
      <c r="E41" s="7" t="s">
        <v>5</v>
      </c>
      <c r="F41" s="7" t="s">
        <v>2897</v>
      </c>
      <c r="G41" s="7" t="s">
        <v>2898</v>
      </c>
      <c r="H41" s="7">
        <f t="shared" si="0"/>
        <v>2</v>
      </c>
    </row>
    <row r="42" spans="1:8" ht="25" customHeight="1" x14ac:dyDescent="0.35">
      <c r="A42" s="7" t="s">
        <v>2899</v>
      </c>
      <c r="B42" s="7" t="s">
        <v>2900</v>
      </c>
      <c r="C42" s="7" t="s">
        <v>4</v>
      </c>
      <c r="D42" s="7">
        <v>6</v>
      </c>
      <c r="E42" s="7" t="s">
        <v>5</v>
      </c>
      <c r="F42" s="7" t="s">
        <v>2901</v>
      </c>
      <c r="G42" s="7" t="s">
        <v>2902</v>
      </c>
      <c r="H42" s="7">
        <f t="shared" si="0"/>
        <v>1</v>
      </c>
    </row>
    <row r="43" spans="1:8" ht="25" customHeight="1" x14ac:dyDescent="0.35">
      <c r="A43" s="7" t="s">
        <v>2903</v>
      </c>
      <c r="B43" s="7" t="s">
        <v>2904</v>
      </c>
      <c r="C43" s="7" t="s">
        <v>4</v>
      </c>
      <c r="D43" s="7">
        <v>12</v>
      </c>
      <c r="E43" s="7" t="s">
        <v>5</v>
      </c>
      <c r="F43" s="7" t="s">
        <v>977</v>
      </c>
      <c r="G43" s="7" t="s">
        <v>2905</v>
      </c>
      <c r="H43" s="7">
        <f t="shared" si="0"/>
        <v>2</v>
      </c>
    </row>
    <row r="44" spans="1:8" ht="25" customHeight="1" x14ac:dyDescent="0.35">
      <c r="A44" s="7" t="s">
        <v>2336</v>
      </c>
      <c r="B44" s="7" t="s">
        <v>2337</v>
      </c>
      <c r="C44" s="7" t="s">
        <v>4</v>
      </c>
      <c r="D44" s="7">
        <v>12</v>
      </c>
      <c r="E44" s="7" t="s">
        <v>5</v>
      </c>
      <c r="F44" s="7" t="s">
        <v>2906</v>
      </c>
      <c r="G44" s="7" t="s">
        <v>2907</v>
      </c>
      <c r="H44" s="7">
        <f t="shared" si="0"/>
        <v>2</v>
      </c>
    </row>
    <row r="45" spans="1:8" ht="25" customHeight="1" x14ac:dyDescent="0.35">
      <c r="A45" s="7" t="s">
        <v>888</v>
      </c>
      <c r="B45" s="7" t="s">
        <v>889</v>
      </c>
      <c r="C45" s="7" t="s">
        <v>4</v>
      </c>
      <c r="D45" s="7">
        <v>6</v>
      </c>
      <c r="E45" s="7" t="s">
        <v>5</v>
      </c>
      <c r="F45" s="7" t="s">
        <v>2908</v>
      </c>
      <c r="G45" s="7" t="s">
        <v>2909</v>
      </c>
      <c r="H45" s="7">
        <f t="shared" si="0"/>
        <v>1</v>
      </c>
    </row>
    <row r="46" spans="1:8" ht="25" customHeight="1" x14ac:dyDescent="0.35">
      <c r="A46" s="7" t="s">
        <v>2910</v>
      </c>
      <c r="B46" s="7" t="s">
        <v>2911</v>
      </c>
      <c r="C46" s="7" t="s">
        <v>4</v>
      </c>
      <c r="D46" s="7">
        <v>6</v>
      </c>
      <c r="E46" s="7" t="s">
        <v>5</v>
      </c>
      <c r="F46" s="7" t="s">
        <v>2912</v>
      </c>
      <c r="G46" s="7" t="s">
        <v>2913</v>
      </c>
      <c r="H46" s="7">
        <f t="shared" si="0"/>
        <v>1</v>
      </c>
    </row>
    <row r="47" spans="1:8" ht="25" customHeight="1" x14ac:dyDescent="0.35">
      <c r="A47" s="7" t="s">
        <v>584</v>
      </c>
      <c r="B47" s="7" t="s">
        <v>585</v>
      </c>
      <c r="C47" s="7" t="s">
        <v>4</v>
      </c>
      <c r="D47" s="7">
        <v>12</v>
      </c>
      <c r="E47" s="7" t="s">
        <v>5</v>
      </c>
      <c r="F47" s="7" t="s">
        <v>2914</v>
      </c>
      <c r="G47" s="7" t="s">
        <v>2915</v>
      </c>
      <c r="H47" s="7">
        <f t="shared" si="0"/>
        <v>2</v>
      </c>
    </row>
    <row r="48" spans="1:8" ht="25" customHeight="1" x14ac:dyDescent="0.35">
      <c r="A48" s="7" t="s">
        <v>2336</v>
      </c>
      <c r="B48" s="7" t="s">
        <v>2337</v>
      </c>
      <c r="C48" s="7" t="s">
        <v>4</v>
      </c>
      <c r="D48" s="7">
        <v>12</v>
      </c>
      <c r="E48" s="7" t="s">
        <v>5</v>
      </c>
      <c r="F48" s="7" t="s">
        <v>2906</v>
      </c>
      <c r="G48" s="7" t="s">
        <v>2907</v>
      </c>
      <c r="H48" s="7">
        <f t="shared" si="0"/>
        <v>2</v>
      </c>
    </row>
    <row r="49" spans="1:8" ht="25" customHeight="1" x14ac:dyDescent="0.35">
      <c r="A49" s="7" t="s">
        <v>2916</v>
      </c>
      <c r="B49" s="7" t="s">
        <v>2917</v>
      </c>
      <c r="C49" s="7" t="s">
        <v>4</v>
      </c>
      <c r="D49" s="7">
        <v>12</v>
      </c>
      <c r="E49" s="7" t="s">
        <v>5</v>
      </c>
      <c r="F49" s="7" t="s">
        <v>2918</v>
      </c>
      <c r="G49" s="7" t="s">
        <v>2919</v>
      </c>
      <c r="H49" s="7">
        <f t="shared" si="0"/>
        <v>2</v>
      </c>
    </row>
    <row r="50" spans="1:8" ht="25" customHeight="1" x14ac:dyDescent="0.35">
      <c r="A50" s="7" t="s">
        <v>2920</v>
      </c>
      <c r="B50" s="7" t="s">
        <v>2921</v>
      </c>
      <c r="C50" s="7" t="s">
        <v>4</v>
      </c>
      <c r="D50" s="7">
        <v>6</v>
      </c>
      <c r="E50" s="7" t="s">
        <v>5</v>
      </c>
      <c r="F50" s="7" t="s">
        <v>1871</v>
      </c>
      <c r="G50" s="7" t="s">
        <v>2922</v>
      </c>
      <c r="H50" s="7">
        <f t="shared" si="0"/>
        <v>1</v>
      </c>
    </row>
    <row r="51" spans="1:8" ht="25" customHeight="1" x14ac:dyDescent="0.35">
      <c r="A51" s="7" t="s">
        <v>2923</v>
      </c>
      <c r="B51" s="7" t="s">
        <v>2924</v>
      </c>
      <c r="C51" s="7" t="s">
        <v>4</v>
      </c>
      <c r="D51" s="7">
        <v>12</v>
      </c>
      <c r="E51" s="7" t="s">
        <v>5</v>
      </c>
      <c r="F51" s="7" t="s">
        <v>2925</v>
      </c>
      <c r="G51" s="7" t="s">
        <v>2926</v>
      </c>
      <c r="H51" s="7">
        <f t="shared" si="0"/>
        <v>2</v>
      </c>
    </row>
    <row r="52" spans="1:8" ht="25" customHeight="1" x14ac:dyDescent="0.35">
      <c r="A52" s="7" t="s">
        <v>2584</v>
      </c>
      <c r="B52" s="7" t="s">
        <v>2585</v>
      </c>
      <c r="C52" s="7" t="s">
        <v>53</v>
      </c>
      <c r="D52" s="7">
        <v>12</v>
      </c>
      <c r="E52" s="7" t="s">
        <v>5</v>
      </c>
      <c r="F52" s="7" t="s">
        <v>2927</v>
      </c>
      <c r="G52" s="7" t="s">
        <v>2928</v>
      </c>
      <c r="H52" s="7">
        <f t="shared" si="0"/>
        <v>2</v>
      </c>
    </row>
    <row r="53" spans="1:8" ht="25" customHeight="1" x14ac:dyDescent="0.35">
      <c r="A53" s="7" t="s">
        <v>1421</v>
      </c>
      <c r="B53" s="7" t="s">
        <v>1422</v>
      </c>
      <c r="C53" s="7" t="s">
        <v>53</v>
      </c>
      <c r="D53" s="7">
        <v>12</v>
      </c>
      <c r="E53" s="7" t="s">
        <v>5</v>
      </c>
      <c r="F53" s="7" t="s">
        <v>2927</v>
      </c>
      <c r="G53" s="7" t="s">
        <v>2928</v>
      </c>
      <c r="H53" s="7">
        <f t="shared" si="0"/>
        <v>2</v>
      </c>
    </row>
    <row r="54" spans="1:8" ht="25" customHeight="1" x14ac:dyDescent="0.35">
      <c r="A54" s="7" t="s">
        <v>2079</v>
      </c>
      <c r="B54" s="7" t="s">
        <v>2080</v>
      </c>
      <c r="C54" s="7" t="s">
        <v>53</v>
      </c>
      <c r="D54" s="7">
        <v>12</v>
      </c>
      <c r="E54" s="7" t="s">
        <v>5</v>
      </c>
      <c r="F54" s="7" t="s">
        <v>2927</v>
      </c>
      <c r="G54" s="7" t="s">
        <v>2928</v>
      </c>
      <c r="H54" s="7">
        <f t="shared" si="0"/>
        <v>2</v>
      </c>
    </row>
    <row r="55" spans="1:8" ht="25" customHeight="1" x14ac:dyDescent="0.35">
      <c r="A55" s="7" t="s">
        <v>1271</v>
      </c>
      <c r="B55" s="7" t="s">
        <v>1272</v>
      </c>
      <c r="C55" s="7" t="s">
        <v>53</v>
      </c>
      <c r="D55" s="7">
        <v>12</v>
      </c>
      <c r="E55" s="7" t="s">
        <v>5</v>
      </c>
      <c r="F55" s="7" t="s">
        <v>2927</v>
      </c>
      <c r="G55" s="7" t="s">
        <v>2928</v>
      </c>
      <c r="H55" s="7">
        <f t="shared" si="0"/>
        <v>2</v>
      </c>
    </row>
    <row r="56" spans="1:8" ht="25" customHeight="1" x14ac:dyDescent="0.35">
      <c r="A56" s="7" t="s">
        <v>1075</v>
      </c>
      <c r="B56" s="7" t="s">
        <v>1076</v>
      </c>
      <c r="C56" s="7" t="s">
        <v>53</v>
      </c>
      <c r="D56" s="7">
        <v>12</v>
      </c>
      <c r="E56" s="7" t="s">
        <v>5</v>
      </c>
      <c r="F56" s="7" t="s">
        <v>2929</v>
      </c>
      <c r="G56" s="7" t="s">
        <v>2930</v>
      </c>
      <c r="H56" s="7">
        <f t="shared" si="0"/>
        <v>2</v>
      </c>
    </row>
    <row r="57" spans="1:8" ht="25" customHeight="1" x14ac:dyDescent="0.35">
      <c r="A57" s="7" t="s">
        <v>1075</v>
      </c>
      <c r="B57" s="7" t="s">
        <v>1076</v>
      </c>
      <c r="C57" s="7" t="s">
        <v>53</v>
      </c>
      <c r="D57" s="7">
        <v>12</v>
      </c>
      <c r="E57" s="7" t="s">
        <v>5</v>
      </c>
      <c r="F57" s="7" t="s">
        <v>2929</v>
      </c>
      <c r="G57" s="7" t="s">
        <v>2930</v>
      </c>
      <c r="H57" s="7">
        <f t="shared" si="0"/>
        <v>2</v>
      </c>
    </row>
    <row r="58" spans="1:8" ht="25" customHeight="1" x14ac:dyDescent="0.35">
      <c r="A58" s="7" t="s">
        <v>1079</v>
      </c>
      <c r="B58" s="7" t="s">
        <v>1080</v>
      </c>
      <c r="C58" s="7" t="s">
        <v>53</v>
      </c>
      <c r="D58" s="7">
        <v>12</v>
      </c>
      <c r="E58" s="7" t="s">
        <v>5</v>
      </c>
      <c r="F58" s="7" t="s">
        <v>2929</v>
      </c>
      <c r="G58" s="7" t="s">
        <v>2930</v>
      </c>
      <c r="H58" s="7">
        <f t="shared" si="0"/>
        <v>2</v>
      </c>
    </row>
    <row r="59" spans="1:8" ht="25" customHeight="1" x14ac:dyDescent="0.35">
      <c r="A59" s="7" t="s">
        <v>1081</v>
      </c>
      <c r="B59" s="7" t="s">
        <v>1082</v>
      </c>
      <c r="C59" s="7" t="s">
        <v>53</v>
      </c>
      <c r="D59" s="7">
        <v>12</v>
      </c>
      <c r="E59" s="7" t="s">
        <v>5</v>
      </c>
      <c r="F59" s="7" t="s">
        <v>2929</v>
      </c>
      <c r="G59" s="7" t="s">
        <v>2930</v>
      </c>
      <c r="H59" s="7">
        <f t="shared" si="0"/>
        <v>2</v>
      </c>
    </row>
    <row r="60" spans="1:8" ht="25" customHeight="1" x14ac:dyDescent="0.35">
      <c r="A60" s="7" t="s">
        <v>2931</v>
      </c>
      <c r="B60" s="7" t="s">
        <v>2932</v>
      </c>
      <c r="C60" s="7" t="s">
        <v>53</v>
      </c>
      <c r="D60" s="7">
        <v>12</v>
      </c>
      <c r="E60" s="7" t="s">
        <v>5</v>
      </c>
      <c r="F60" s="7" t="s">
        <v>2929</v>
      </c>
      <c r="G60" s="7" t="s">
        <v>2930</v>
      </c>
      <c r="H60" s="7">
        <f t="shared" si="0"/>
        <v>2</v>
      </c>
    </row>
    <row r="61" spans="1:8" ht="25" customHeight="1" x14ac:dyDescent="0.35">
      <c r="A61" s="7" t="s">
        <v>2923</v>
      </c>
      <c r="B61" s="7" t="s">
        <v>2924</v>
      </c>
      <c r="C61" s="7" t="s">
        <v>4</v>
      </c>
      <c r="D61" s="7">
        <v>12</v>
      </c>
      <c r="E61" s="7" t="s">
        <v>5</v>
      </c>
      <c r="F61" s="7" t="s">
        <v>2925</v>
      </c>
      <c r="G61" s="7" t="s">
        <v>2926</v>
      </c>
      <c r="H61" s="7">
        <f t="shared" si="0"/>
        <v>2</v>
      </c>
    </row>
    <row r="62" spans="1:8" ht="25" customHeight="1" x14ac:dyDescent="0.35">
      <c r="A62" s="7" t="s">
        <v>2933</v>
      </c>
      <c r="B62" s="7" t="s">
        <v>2934</v>
      </c>
      <c r="C62" s="7" t="s">
        <v>4</v>
      </c>
      <c r="D62" s="7">
        <v>6</v>
      </c>
      <c r="E62" s="7" t="s">
        <v>5</v>
      </c>
      <c r="F62" s="7" t="s">
        <v>2935</v>
      </c>
      <c r="G62" s="7" t="s">
        <v>2936</v>
      </c>
      <c r="H62" s="7">
        <f t="shared" si="0"/>
        <v>1</v>
      </c>
    </row>
    <row r="63" spans="1:8" ht="25" customHeight="1" x14ac:dyDescent="0.35">
      <c r="A63" s="7" t="s">
        <v>2937</v>
      </c>
      <c r="B63" s="7" t="s">
        <v>2938</v>
      </c>
      <c r="C63" s="7" t="s">
        <v>4</v>
      </c>
      <c r="D63" s="7">
        <v>6</v>
      </c>
      <c r="E63" s="7" t="s">
        <v>5</v>
      </c>
      <c r="F63" s="7" t="s">
        <v>2939</v>
      </c>
      <c r="G63" s="7" t="s">
        <v>2940</v>
      </c>
      <c r="H63" s="7">
        <f t="shared" si="0"/>
        <v>1</v>
      </c>
    </row>
    <row r="64" spans="1:8" ht="25" customHeight="1" x14ac:dyDescent="0.35">
      <c r="A64" s="7" t="s">
        <v>2941</v>
      </c>
      <c r="B64" s="7" t="s">
        <v>2942</v>
      </c>
      <c r="C64" s="7" t="s">
        <v>4</v>
      </c>
      <c r="D64" s="7">
        <v>6</v>
      </c>
      <c r="E64" s="7" t="s">
        <v>5</v>
      </c>
      <c r="F64" s="7" t="s">
        <v>2943</v>
      </c>
      <c r="G64" s="7" t="s">
        <v>2944</v>
      </c>
      <c r="H64" s="7">
        <f t="shared" si="0"/>
        <v>1</v>
      </c>
    </row>
    <row r="65" spans="1:8" ht="25" customHeight="1" x14ac:dyDescent="0.35">
      <c r="A65" s="7" t="s">
        <v>2945</v>
      </c>
      <c r="B65" s="7" t="s">
        <v>2946</v>
      </c>
      <c r="C65" s="7" t="s">
        <v>4</v>
      </c>
      <c r="D65" s="7">
        <v>6</v>
      </c>
      <c r="E65" s="7" t="s">
        <v>5</v>
      </c>
      <c r="F65" s="7" t="s">
        <v>2947</v>
      </c>
      <c r="G65" s="7" t="s">
        <v>2948</v>
      </c>
      <c r="H65" s="7">
        <f t="shared" si="0"/>
        <v>1</v>
      </c>
    </row>
    <row r="66" spans="1:8" ht="25" customHeight="1" x14ac:dyDescent="0.35">
      <c r="A66" s="7" t="s">
        <v>2949</v>
      </c>
      <c r="B66" s="7" t="s">
        <v>2950</v>
      </c>
      <c r="C66" s="7" t="s">
        <v>4</v>
      </c>
      <c r="D66" s="7">
        <v>6</v>
      </c>
      <c r="E66" s="7" t="s">
        <v>5</v>
      </c>
      <c r="F66" s="7" t="s">
        <v>2951</v>
      </c>
      <c r="G66" s="7" t="s">
        <v>2952</v>
      </c>
      <c r="H66" s="7">
        <f t="shared" si="0"/>
        <v>1</v>
      </c>
    </row>
    <row r="67" spans="1:8" ht="25" customHeight="1" x14ac:dyDescent="0.35">
      <c r="A67" s="7" t="s">
        <v>1148</v>
      </c>
      <c r="B67" s="7" t="s">
        <v>1149</v>
      </c>
      <c r="C67" s="7" t="s">
        <v>53</v>
      </c>
      <c r="D67" s="7">
        <v>6</v>
      </c>
      <c r="E67" s="7" t="s">
        <v>5</v>
      </c>
      <c r="F67" s="7" t="s">
        <v>2953</v>
      </c>
      <c r="G67" s="7" t="s">
        <v>2954</v>
      </c>
      <c r="H67" s="7">
        <f t="shared" ref="H67:H112" si="1">D67/6</f>
        <v>1</v>
      </c>
    </row>
    <row r="68" spans="1:8" ht="25" customHeight="1" x14ac:dyDescent="0.35">
      <c r="A68" s="7" t="s">
        <v>525</v>
      </c>
      <c r="B68" s="7" t="s">
        <v>526</v>
      </c>
      <c r="C68" s="7" t="s">
        <v>53</v>
      </c>
      <c r="D68" s="7">
        <v>6</v>
      </c>
      <c r="E68" s="7" t="s">
        <v>5</v>
      </c>
      <c r="F68" s="7" t="s">
        <v>2953</v>
      </c>
      <c r="G68" s="7" t="s">
        <v>2954</v>
      </c>
      <c r="H68" s="7">
        <f t="shared" si="1"/>
        <v>1</v>
      </c>
    </row>
    <row r="69" spans="1:8" ht="25" customHeight="1" x14ac:dyDescent="0.35">
      <c r="A69" s="7" t="s">
        <v>2955</v>
      </c>
      <c r="B69" s="7" t="s">
        <v>2956</v>
      </c>
      <c r="C69" s="7" t="s">
        <v>4</v>
      </c>
      <c r="D69" s="7">
        <v>6</v>
      </c>
      <c r="E69" s="7" t="s">
        <v>5</v>
      </c>
      <c r="F69" s="7" t="s">
        <v>2957</v>
      </c>
      <c r="G69" s="7" t="s">
        <v>2958</v>
      </c>
      <c r="H69" s="7">
        <f t="shared" si="1"/>
        <v>1</v>
      </c>
    </row>
    <row r="70" spans="1:8" ht="25" customHeight="1" x14ac:dyDescent="0.35">
      <c r="A70" s="7" t="s">
        <v>1373</v>
      </c>
      <c r="B70" s="7" t="s">
        <v>1374</v>
      </c>
      <c r="C70" s="7" t="s">
        <v>4</v>
      </c>
      <c r="D70" s="7">
        <v>6</v>
      </c>
      <c r="E70" s="7" t="s">
        <v>5</v>
      </c>
      <c r="F70" s="7" t="s">
        <v>2959</v>
      </c>
      <c r="G70" s="7" t="s">
        <v>2960</v>
      </c>
      <c r="H70" s="7">
        <f t="shared" si="1"/>
        <v>1</v>
      </c>
    </row>
    <row r="71" spans="1:8" ht="25" customHeight="1" x14ac:dyDescent="0.35">
      <c r="A71" s="7" t="s">
        <v>1369</v>
      </c>
      <c r="B71" s="7" t="s">
        <v>1370</v>
      </c>
      <c r="C71" s="7" t="s">
        <v>4</v>
      </c>
      <c r="D71" s="7">
        <v>6</v>
      </c>
      <c r="E71" s="7" t="s">
        <v>5</v>
      </c>
      <c r="F71" s="7" t="s">
        <v>2961</v>
      </c>
      <c r="G71" s="7" t="s">
        <v>2962</v>
      </c>
      <c r="H71" s="7">
        <f t="shared" si="1"/>
        <v>1</v>
      </c>
    </row>
    <row r="72" spans="1:8" ht="25" customHeight="1" x14ac:dyDescent="0.35">
      <c r="A72" s="7" t="s">
        <v>2425</v>
      </c>
      <c r="B72" s="7" t="s">
        <v>2426</v>
      </c>
      <c r="C72" s="7" t="s">
        <v>4</v>
      </c>
      <c r="D72" s="7">
        <v>6</v>
      </c>
      <c r="E72" s="7" t="s">
        <v>5</v>
      </c>
      <c r="F72" s="7" t="s">
        <v>1157</v>
      </c>
      <c r="G72" s="7" t="s">
        <v>2963</v>
      </c>
      <c r="H72" s="7">
        <f t="shared" si="1"/>
        <v>1</v>
      </c>
    </row>
    <row r="73" spans="1:8" ht="25" customHeight="1" x14ac:dyDescent="0.35">
      <c r="A73" s="7" t="s">
        <v>2427</v>
      </c>
      <c r="B73" s="7" t="s">
        <v>2428</v>
      </c>
      <c r="C73" s="7" t="s">
        <v>4</v>
      </c>
      <c r="D73" s="7">
        <v>6</v>
      </c>
      <c r="E73" s="7" t="s">
        <v>5</v>
      </c>
      <c r="F73" s="7" t="s">
        <v>1157</v>
      </c>
      <c r="G73" s="7" t="s">
        <v>2963</v>
      </c>
      <c r="H73" s="7">
        <f t="shared" si="1"/>
        <v>1</v>
      </c>
    </row>
    <row r="74" spans="1:8" ht="25" customHeight="1" x14ac:dyDescent="0.35">
      <c r="A74" s="7" t="s">
        <v>2964</v>
      </c>
      <c r="B74" s="7" t="s">
        <v>2965</v>
      </c>
      <c r="C74" s="7" t="s">
        <v>4</v>
      </c>
      <c r="D74" s="7">
        <v>6</v>
      </c>
      <c r="E74" s="7" t="s">
        <v>5</v>
      </c>
      <c r="F74" s="7" t="s">
        <v>1157</v>
      </c>
      <c r="G74" s="7" t="s">
        <v>2963</v>
      </c>
      <c r="H74" s="7">
        <f t="shared" si="1"/>
        <v>1</v>
      </c>
    </row>
    <row r="75" spans="1:8" ht="25" customHeight="1" x14ac:dyDescent="0.35">
      <c r="A75" s="7" t="s">
        <v>2966</v>
      </c>
      <c r="B75" s="7" t="s">
        <v>2967</v>
      </c>
      <c r="C75" s="7" t="s">
        <v>4</v>
      </c>
      <c r="D75" s="7">
        <v>6</v>
      </c>
      <c r="E75" s="7" t="s">
        <v>5</v>
      </c>
      <c r="F75" s="7" t="s">
        <v>2968</v>
      </c>
      <c r="G75" s="7" t="s">
        <v>2969</v>
      </c>
      <c r="H75" s="7">
        <f t="shared" si="1"/>
        <v>1</v>
      </c>
    </row>
    <row r="76" spans="1:8" ht="25" customHeight="1" x14ac:dyDescent="0.35">
      <c r="A76" s="7" t="s">
        <v>2970</v>
      </c>
      <c r="B76" s="7" t="s">
        <v>2971</v>
      </c>
      <c r="C76" s="7" t="s">
        <v>4</v>
      </c>
      <c r="D76" s="7">
        <v>6</v>
      </c>
      <c r="E76" s="7" t="s">
        <v>5</v>
      </c>
      <c r="F76" s="7" t="s">
        <v>2972</v>
      </c>
      <c r="G76" s="7" t="s">
        <v>2973</v>
      </c>
      <c r="H76" s="7">
        <f t="shared" si="1"/>
        <v>1</v>
      </c>
    </row>
    <row r="77" spans="1:8" ht="25" customHeight="1" x14ac:dyDescent="0.35">
      <c r="A77" s="7" t="s">
        <v>2393</v>
      </c>
      <c r="B77" s="7" t="s">
        <v>2394</v>
      </c>
      <c r="C77" s="7" t="s">
        <v>4</v>
      </c>
      <c r="D77" s="7">
        <v>6</v>
      </c>
      <c r="E77" s="7" t="s">
        <v>5</v>
      </c>
      <c r="F77" s="7" t="s">
        <v>2974</v>
      </c>
      <c r="G77" s="7" t="s">
        <v>2975</v>
      </c>
      <c r="H77" s="7">
        <f t="shared" si="1"/>
        <v>1</v>
      </c>
    </row>
    <row r="78" spans="1:8" ht="25" customHeight="1" x14ac:dyDescent="0.35">
      <c r="A78" s="7" t="s">
        <v>2381</v>
      </c>
      <c r="B78" s="7" t="s">
        <v>2382</v>
      </c>
      <c r="C78" s="7" t="s">
        <v>4</v>
      </c>
      <c r="D78" s="7">
        <v>6</v>
      </c>
      <c r="E78" s="7" t="s">
        <v>5</v>
      </c>
      <c r="F78" s="7" t="s">
        <v>2974</v>
      </c>
      <c r="G78" s="7" t="s">
        <v>2975</v>
      </c>
      <c r="H78" s="7">
        <f t="shared" si="1"/>
        <v>1</v>
      </c>
    </row>
    <row r="79" spans="1:8" ht="25" customHeight="1" x14ac:dyDescent="0.35">
      <c r="A79" s="7" t="s">
        <v>2976</v>
      </c>
      <c r="B79" s="7" t="s">
        <v>2977</v>
      </c>
      <c r="C79" s="7" t="s">
        <v>53</v>
      </c>
      <c r="D79" s="7">
        <v>12</v>
      </c>
      <c r="E79" s="7" t="s">
        <v>5</v>
      </c>
      <c r="F79" s="7" t="s">
        <v>2978</v>
      </c>
      <c r="G79" s="7" t="s">
        <v>2979</v>
      </c>
      <c r="H79" s="7">
        <f t="shared" si="1"/>
        <v>2</v>
      </c>
    </row>
    <row r="80" spans="1:8" ht="25" customHeight="1" x14ac:dyDescent="0.35">
      <c r="A80" s="7" t="s">
        <v>2980</v>
      </c>
      <c r="B80" s="7" t="s">
        <v>2981</v>
      </c>
      <c r="C80" s="7" t="s">
        <v>53</v>
      </c>
      <c r="D80" s="7">
        <v>12</v>
      </c>
      <c r="E80" s="7" t="s">
        <v>5</v>
      </c>
      <c r="F80" s="7" t="s">
        <v>2982</v>
      </c>
      <c r="G80" s="7" t="s">
        <v>2983</v>
      </c>
      <c r="H80" s="7">
        <f t="shared" si="1"/>
        <v>2</v>
      </c>
    </row>
    <row r="81" spans="1:8" ht="25" customHeight="1" x14ac:dyDescent="0.35">
      <c r="A81" s="7" t="s">
        <v>2984</v>
      </c>
      <c r="B81" s="7" t="s">
        <v>2985</v>
      </c>
      <c r="C81" s="7" t="s">
        <v>4</v>
      </c>
      <c r="D81" s="7">
        <v>6</v>
      </c>
      <c r="E81" s="7" t="s">
        <v>5</v>
      </c>
      <c r="F81" s="7" t="s">
        <v>2986</v>
      </c>
      <c r="G81" s="7" t="s">
        <v>2987</v>
      </c>
      <c r="H81" s="7">
        <f t="shared" si="1"/>
        <v>1</v>
      </c>
    </row>
    <row r="82" spans="1:8" ht="25" customHeight="1" x14ac:dyDescent="0.35">
      <c r="A82" s="7" t="s">
        <v>2988</v>
      </c>
      <c r="B82" s="7" t="s">
        <v>2989</v>
      </c>
      <c r="C82" s="7" t="s">
        <v>4</v>
      </c>
      <c r="D82" s="7">
        <v>6</v>
      </c>
      <c r="E82" s="7" t="s">
        <v>5</v>
      </c>
      <c r="F82" s="7" t="s">
        <v>2990</v>
      </c>
      <c r="G82" s="7" t="s">
        <v>2869</v>
      </c>
      <c r="H82" s="7">
        <f t="shared" si="1"/>
        <v>1</v>
      </c>
    </row>
    <row r="83" spans="1:8" ht="25" customHeight="1" x14ac:dyDescent="0.35">
      <c r="A83" s="7" t="s">
        <v>2991</v>
      </c>
      <c r="B83" s="7" t="s">
        <v>2992</v>
      </c>
      <c r="C83" s="7" t="s">
        <v>4</v>
      </c>
      <c r="D83" s="7">
        <v>12</v>
      </c>
      <c r="E83" s="7" t="s">
        <v>5</v>
      </c>
      <c r="F83" s="7" t="s">
        <v>2993</v>
      </c>
      <c r="G83" s="7" t="s">
        <v>2994</v>
      </c>
      <c r="H83" s="7">
        <f t="shared" si="1"/>
        <v>2</v>
      </c>
    </row>
    <row r="84" spans="1:8" ht="25" customHeight="1" x14ac:dyDescent="0.35">
      <c r="A84" s="7" t="s">
        <v>2995</v>
      </c>
      <c r="B84" s="7" t="s">
        <v>2996</v>
      </c>
      <c r="C84" s="7" t="s">
        <v>4</v>
      </c>
      <c r="D84" s="7">
        <v>24</v>
      </c>
      <c r="E84" s="7" t="s">
        <v>5</v>
      </c>
      <c r="F84" s="7" t="s">
        <v>2997</v>
      </c>
      <c r="G84" s="7" t="s">
        <v>2998</v>
      </c>
      <c r="H84" s="7">
        <f t="shared" si="1"/>
        <v>4</v>
      </c>
    </row>
    <row r="85" spans="1:8" ht="25" customHeight="1" x14ac:dyDescent="0.35">
      <c r="A85" s="7" t="s">
        <v>2999</v>
      </c>
      <c r="B85" s="7" t="s">
        <v>3000</v>
      </c>
      <c r="C85" s="7" t="s">
        <v>4</v>
      </c>
      <c r="D85" s="7">
        <v>6</v>
      </c>
      <c r="E85" s="7" t="s">
        <v>5</v>
      </c>
      <c r="F85" s="7" t="s">
        <v>3001</v>
      </c>
      <c r="G85" s="7" t="s">
        <v>3002</v>
      </c>
      <c r="H85" s="7">
        <f t="shared" si="1"/>
        <v>1</v>
      </c>
    </row>
    <row r="86" spans="1:8" ht="25" customHeight="1" x14ac:dyDescent="0.35">
      <c r="A86" s="7" t="s">
        <v>3003</v>
      </c>
      <c r="B86" s="7" t="s">
        <v>3004</v>
      </c>
      <c r="C86" s="7" t="s">
        <v>4</v>
      </c>
      <c r="D86" s="7">
        <v>6</v>
      </c>
      <c r="E86" s="7" t="s">
        <v>5</v>
      </c>
      <c r="F86" s="7" t="s">
        <v>3005</v>
      </c>
      <c r="G86" s="7" t="s">
        <v>3006</v>
      </c>
      <c r="H86" s="7">
        <f t="shared" si="1"/>
        <v>1</v>
      </c>
    </row>
    <row r="87" spans="1:8" ht="25" customHeight="1" x14ac:dyDescent="0.35">
      <c r="A87" s="7" t="s">
        <v>3007</v>
      </c>
      <c r="B87" s="7" t="s">
        <v>3008</v>
      </c>
      <c r="C87" s="7" t="s">
        <v>53</v>
      </c>
      <c r="D87" s="7">
        <v>12</v>
      </c>
      <c r="E87" s="7" t="s">
        <v>5</v>
      </c>
      <c r="F87" s="7" t="s">
        <v>2953</v>
      </c>
      <c r="G87" s="7" t="s">
        <v>3009</v>
      </c>
      <c r="H87" s="7">
        <f t="shared" si="1"/>
        <v>2</v>
      </c>
    </row>
    <row r="88" spans="1:8" ht="25" customHeight="1" x14ac:dyDescent="0.35">
      <c r="A88" s="7" t="s">
        <v>3010</v>
      </c>
      <c r="B88" s="7" t="s">
        <v>3011</v>
      </c>
      <c r="C88" s="7" t="s">
        <v>4</v>
      </c>
      <c r="D88" s="7">
        <v>12</v>
      </c>
      <c r="E88" s="7" t="s">
        <v>5</v>
      </c>
      <c r="F88" s="7" t="s">
        <v>2951</v>
      </c>
      <c r="G88" s="7" t="s">
        <v>3012</v>
      </c>
      <c r="H88" s="7">
        <f t="shared" si="1"/>
        <v>2</v>
      </c>
    </row>
    <row r="89" spans="1:8" ht="25" customHeight="1" x14ac:dyDescent="0.35">
      <c r="A89" s="7" t="s">
        <v>1152</v>
      </c>
      <c r="B89" s="7" t="s">
        <v>1153</v>
      </c>
      <c r="C89" s="7" t="s">
        <v>53</v>
      </c>
      <c r="D89" s="7">
        <v>12</v>
      </c>
      <c r="E89" s="7" t="s">
        <v>5</v>
      </c>
      <c r="F89" s="7" t="s">
        <v>2953</v>
      </c>
      <c r="G89" s="7" t="s">
        <v>3009</v>
      </c>
      <c r="H89" s="7">
        <f t="shared" si="1"/>
        <v>2</v>
      </c>
    </row>
    <row r="90" spans="1:8" ht="25" customHeight="1" x14ac:dyDescent="0.35">
      <c r="A90" s="7" t="s">
        <v>3013</v>
      </c>
      <c r="B90" s="7" t="s">
        <v>3014</v>
      </c>
      <c r="C90" s="7" t="s">
        <v>4</v>
      </c>
      <c r="D90" s="7">
        <v>12</v>
      </c>
      <c r="E90" s="7" t="s">
        <v>5</v>
      </c>
      <c r="F90" s="7" t="s">
        <v>2951</v>
      </c>
      <c r="G90" s="7" t="s">
        <v>3012</v>
      </c>
      <c r="H90" s="7">
        <f t="shared" si="1"/>
        <v>2</v>
      </c>
    </row>
    <row r="91" spans="1:8" ht="25" customHeight="1" x14ac:dyDescent="0.35">
      <c r="A91" s="7" t="s">
        <v>3015</v>
      </c>
      <c r="B91" s="7" t="s">
        <v>3016</v>
      </c>
      <c r="C91" s="7" t="s">
        <v>4</v>
      </c>
      <c r="D91" s="7">
        <v>18</v>
      </c>
      <c r="E91" s="7" t="s">
        <v>5</v>
      </c>
      <c r="F91" s="7" t="s">
        <v>3017</v>
      </c>
      <c r="G91" s="7" t="s">
        <v>3018</v>
      </c>
      <c r="H91" s="7">
        <f t="shared" si="1"/>
        <v>3</v>
      </c>
    </row>
    <row r="92" spans="1:8" ht="25" customHeight="1" x14ac:dyDescent="0.35">
      <c r="A92" s="7" t="s">
        <v>2429</v>
      </c>
      <c r="B92" s="7" t="s">
        <v>2430</v>
      </c>
      <c r="C92" s="7" t="s">
        <v>53</v>
      </c>
      <c r="D92" s="7">
        <v>12</v>
      </c>
      <c r="E92" s="7" t="s">
        <v>5</v>
      </c>
      <c r="F92" s="7" t="s">
        <v>3019</v>
      </c>
      <c r="G92" s="7" t="s">
        <v>3020</v>
      </c>
      <c r="H92" s="7">
        <f t="shared" si="1"/>
        <v>2</v>
      </c>
    </row>
    <row r="93" spans="1:8" ht="25" customHeight="1" x14ac:dyDescent="0.35">
      <c r="A93" s="7" t="s">
        <v>876</v>
      </c>
      <c r="B93" s="7" t="s">
        <v>877</v>
      </c>
      <c r="C93" s="7" t="s">
        <v>53</v>
      </c>
      <c r="D93" s="7">
        <v>12</v>
      </c>
      <c r="E93" s="7" t="s">
        <v>5</v>
      </c>
      <c r="F93" s="7" t="s">
        <v>2909</v>
      </c>
      <c r="G93" s="7" t="s">
        <v>3021</v>
      </c>
      <c r="H93" s="7">
        <f t="shared" si="1"/>
        <v>2</v>
      </c>
    </row>
    <row r="94" spans="1:8" ht="25" customHeight="1" x14ac:dyDescent="0.35">
      <c r="A94" s="7" t="s">
        <v>3022</v>
      </c>
      <c r="B94" s="7" t="s">
        <v>3023</v>
      </c>
      <c r="C94" s="7" t="s">
        <v>4</v>
      </c>
      <c r="D94" s="7">
        <v>6</v>
      </c>
      <c r="E94" s="7" t="s">
        <v>5</v>
      </c>
      <c r="F94" s="7" t="s">
        <v>3024</v>
      </c>
      <c r="G94" s="7" t="s">
        <v>3025</v>
      </c>
      <c r="H94" s="7">
        <f t="shared" si="1"/>
        <v>1</v>
      </c>
    </row>
    <row r="95" spans="1:8" ht="25" customHeight="1" x14ac:dyDescent="0.35">
      <c r="A95" s="7" t="s">
        <v>3026</v>
      </c>
      <c r="B95" s="7" t="s">
        <v>3027</v>
      </c>
      <c r="C95" s="7" t="s">
        <v>4</v>
      </c>
      <c r="D95" s="7">
        <v>6</v>
      </c>
      <c r="E95" s="7" t="s">
        <v>5</v>
      </c>
      <c r="F95" s="7" t="s">
        <v>3028</v>
      </c>
      <c r="G95" s="7" t="s">
        <v>3029</v>
      </c>
      <c r="H95" s="7">
        <f t="shared" si="1"/>
        <v>1</v>
      </c>
    </row>
    <row r="96" spans="1:8" ht="25" customHeight="1" x14ac:dyDescent="0.35">
      <c r="A96" s="7" t="s">
        <v>3030</v>
      </c>
      <c r="B96" s="7" t="s">
        <v>3031</v>
      </c>
      <c r="C96" s="7" t="s">
        <v>53</v>
      </c>
      <c r="D96" s="7">
        <v>12</v>
      </c>
      <c r="E96" s="7" t="s">
        <v>5</v>
      </c>
      <c r="F96" s="7" t="s">
        <v>3032</v>
      </c>
      <c r="G96" s="7" t="s">
        <v>3033</v>
      </c>
      <c r="H96" s="7">
        <f t="shared" si="1"/>
        <v>2</v>
      </c>
    </row>
    <row r="97" spans="1:8" ht="25" customHeight="1" x14ac:dyDescent="0.35">
      <c r="A97" s="7" t="s">
        <v>3034</v>
      </c>
      <c r="B97" s="7" t="s">
        <v>3035</v>
      </c>
      <c r="C97" s="7" t="s">
        <v>4</v>
      </c>
      <c r="D97" s="7">
        <v>12</v>
      </c>
      <c r="E97" s="7" t="s">
        <v>5</v>
      </c>
      <c r="F97" s="7" t="s">
        <v>3036</v>
      </c>
      <c r="G97" s="7" t="s">
        <v>3037</v>
      </c>
      <c r="H97" s="7">
        <f t="shared" si="1"/>
        <v>2</v>
      </c>
    </row>
    <row r="98" spans="1:8" ht="25" customHeight="1" x14ac:dyDescent="0.35">
      <c r="A98" s="7" t="s">
        <v>3038</v>
      </c>
      <c r="B98" s="7" t="s">
        <v>3039</v>
      </c>
      <c r="C98" s="7" t="s">
        <v>4</v>
      </c>
      <c r="D98" s="7">
        <v>12</v>
      </c>
      <c r="E98" s="7" t="s">
        <v>5</v>
      </c>
      <c r="F98" s="7" t="s">
        <v>3040</v>
      </c>
      <c r="G98" s="7" t="s">
        <v>3041</v>
      </c>
      <c r="H98" s="7">
        <f t="shared" si="1"/>
        <v>2</v>
      </c>
    </row>
    <row r="99" spans="1:8" ht="25" customHeight="1" x14ac:dyDescent="0.35">
      <c r="A99" s="7" t="s">
        <v>3042</v>
      </c>
      <c r="B99" s="7" t="s">
        <v>3043</v>
      </c>
      <c r="C99" s="7" t="s">
        <v>4</v>
      </c>
      <c r="D99" s="7">
        <v>6</v>
      </c>
      <c r="E99" s="7" t="s">
        <v>5</v>
      </c>
      <c r="F99" s="7" t="s">
        <v>3040</v>
      </c>
      <c r="G99" s="7" t="s">
        <v>3044</v>
      </c>
      <c r="H99" s="7">
        <f t="shared" si="1"/>
        <v>1</v>
      </c>
    </row>
    <row r="100" spans="1:8" ht="25" customHeight="1" x14ac:dyDescent="0.35">
      <c r="A100" s="7" t="s">
        <v>3045</v>
      </c>
      <c r="B100" s="7" t="s">
        <v>3046</v>
      </c>
      <c r="C100" s="7" t="s">
        <v>4</v>
      </c>
      <c r="D100" s="7">
        <v>12</v>
      </c>
      <c r="E100" s="7" t="s">
        <v>5</v>
      </c>
      <c r="F100" s="7" t="s">
        <v>3047</v>
      </c>
      <c r="G100" s="7" t="s">
        <v>3048</v>
      </c>
      <c r="H100" s="7">
        <f t="shared" si="1"/>
        <v>2</v>
      </c>
    </row>
    <row r="101" spans="1:8" ht="25" customHeight="1" x14ac:dyDescent="0.35">
      <c r="A101" s="7" t="s">
        <v>3049</v>
      </c>
      <c r="B101" s="7" t="s">
        <v>3050</v>
      </c>
      <c r="C101" s="7" t="s">
        <v>4</v>
      </c>
      <c r="D101" s="7">
        <v>6</v>
      </c>
      <c r="E101" s="7" t="s">
        <v>5</v>
      </c>
      <c r="F101" s="7" t="s">
        <v>3051</v>
      </c>
      <c r="G101" s="7" t="s">
        <v>3052</v>
      </c>
      <c r="H101" s="7">
        <f t="shared" si="1"/>
        <v>1</v>
      </c>
    </row>
    <row r="102" spans="1:8" ht="25" customHeight="1" x14ac:dyDescent="0.35">
      <c r="A102" s="7" t="s">
        <v>2482</v>
      </c>
      <c r="B102" s="7" t="s">
        <v>2483</v>
      </c>
      <c r="C102" s="7" t="s">
        <v>4</v>
      </c>
      <c r="D102" s="7">
        <v>6</v>
      </c>
      <c r="E102" s="7" t="s">
        <v>5</v>
      </c>
      <c r="F102" s="7" t="s">
        <v>3053</v>
      </c>
      <c r="G102" s="7" t="s">
        <v>3054</v>
      </c>
      <c r="H102" s="7">
        <f t="shared" si="1"/>
        <v>1</v>
      </c>
    </row>
    <row r="103" spans="1:8" ht="25" customHeight="1" x14ac:dyDescent="0.35">
      <c r="A103" s="7" t="s">
        <v>2486</v>
      </c>
      <c r="B103" s="7" t="s">
        <v>2487</v>
      </c>
      <c r="C103" s="7" t="s">
        <v>4</v>
      </c>
      <c r="D103" s="7">
        <v>6</v>
      </c>
      <c r="E103" s="7" t="s">
        <v>5</v>
      </c>
      <c r="F103" s="7" t="s">
        <v>3055</v>
      </c>
      <c r="G103" s="7" t="s">
        <v>3056</v>
      </c>
      <c r="H103" s="7">
        <f t="shared" si="1"/>
        <v>1</v>
      </c>
    </row>
    <row r="104" spans="1:8" ht="25" customHeight="1" x14ac:dyDescent="0.35">
      <c r="A104" s="7" t="s">
        <v>264</v>
      </c>
      <c r="B104" s="7" t="s">
        <v>265</v>
      </c>
      <c r="C104" s="7" t="s">
        <v>4</v>
      </c>
      <c r="D104" s="7">
        <v>6</v>
      </c>
      <c r="E104" s="7" t="s">
        <v>5</v>
      </c>
      <c r="F104" s="7" t="s">
        <v>3057</v>
      </c>
      <c r="G104" s="7" t="s">
        <v>3058</v>
      </c>
      <c r="H104" s="7">
        <f t="shared" si="1"/>
        <v>1</v>
      </c>
    </row>
    <row r="105" spans="1:8" ht="25" customHeight="1" x14ac:dyDescent="0.35">
      <c r="A105" s="7" t="s">
        <v>268</v>
      </c>
      <c r="B105" s="7" t="s">
        <v>269</v>
      </c>
      <c r="C105" s="7" t="s">
        <v>4</v>
      </c>
      <c r="D105" s="7">
        <v>6</v>
      </c>
      <c r="E105" s="7" t="s">
        <v>5</v>
      </c>
      <c r="F105" s="7" t="s">
        <v>3059</v>
      </c>
      <c r="G105" s="7" t="s">
        <v>3060</v>
      </c>
      <c r="H105" s="7">
        <f t="shared" si="1"/>
        <v>1</v>
      </c>
    </row>
    <row r="106" spans="1:8" ht="25" customHeight="1" x14ac:dyDescent="0.35">
      <c r="A106" s="7" t="s">
        <v>2496</v>
      </c>
      <c r="B106" s="7" t="s">
        <v>2497</v>
      </c>
      <c r="C106" s="7" t="s">
        <v>4</v>
      </c>
      <c r="D106" s="7">
        <v>6</v>
      </c>
      <c r="E106" s="7" t="s">
        <v>5</v>
      </c>
      <c r="F106" s="7" t="s">
        <v>3061</v>
      </c>
      <c r="G106" s="7" t="s">
        <v>3062</v>
      </c>
      <c r="H106" s="7">
        <f t="shared" si="1"/>
        <v>1</v>
      </c>
    </row>
    <row r="107" spans="1:8" ht="25" customHeight="1" x14ac:dyDescent="0.35">
      <c r="A107" s="7" t="s">
        <v>264</v>
      </c>
      <c r="B107" s="7" t="s">
        <v>265</v>
      </c>
      <c r="C107" s="7" t="s">
        <v>4</v>
      </c>
      <c r="D107" s="7">
        <v>6</v>
      </c>
      <c r="E107" s="7" t="s">
        <v>5</v>
      </c>
      <c r="F107" s="7" t="s">
        <v>3057</v>
      </c>
      <c r="G107" s="7" t="s">
        <v>3058</v>
      </c>
      <c r="H107" s="7">
        <f t="shared" si="1"/>
        <v>1</v>
      </c>
    </row>
    <row r="108" spans="1:8" ht="25" customHeight="1" x14ac:dyDescent="0.35">
      <c r="A108" s="7" t="s">
        <v>268</v>
      </c>
      <c r="B108" s="7" t="s">
        <v>269</v>
      </c>
      <c r="C108" s="7" t="s">
        <v>4</v>
      </c>
      <c r="D108" s="7">
        <v>6</v>
      </c>
      <c r="E108" s="7" t="s">
        <v>5</v>
      </c>
      <c r="F108" s="7" t="s">
        <v>3059</v>
      </c>
      <c r="G108" s="7" t="s">
        <v>3060</v>
      </c>
      <c r="H108" s="7">
        <f t="shared" si="1"/>
        <v>1</v>
      </c>
    </row>
    <row r="109" spans="1:8" ht="25" customHeight="1" x14ac:dyDescent="0.35">
      <c r="A109" s="7" t="s">
        <v>2496</v>
      </c>
      <c r="B109" s="7" t="s">
        <v>2497</v>
      </c>
      <c r="C109" s="7" t="s">
        <v>4</v>
      </c>
      <c r="D109" s="7">
        <v>6</v>
      </c>
      <c r="E109" s="7" t="s">
        <v>5</v>
      </c>
      <c r="F109" s="7" t="s">
        <v>3061</v>
      </c>
      <c r="G109" s="7" t="s">
        <v>3062</v>
      </c>
      <c r="H109" s="7">
        <f t="shared" si="1"/>
        <v>1</v>
      </c>
    </row>
    <row r="110" spans="1:8" ht="25" customHeight="1" x14ac:dyDescent="0.35">
      <c r="A110" s="7" t="s">
        <v>1516</v>
      </c>
      <c r="B110" s="7" t="s">
        <v>1517</v>
      </c>
      <c r="C110" s="7" t="s">
        <v>4</v>
      </c>
      <c r="D110" s="7">
        <v>6</v>
      </c>
      <c r="E110" s="7" t="s">
        <v>5</v>
      </c>
      <c r="F110" s="7" t="s">
        <v>3063</v>
      </c>
      <c r="G110" s="7" t="s">
        <v>3064</v>
      </c>
      <c r="H110" s="7">
        <f t="shared" si="1"/>
        <v>1</v>
      </c>
    </row>
    <row r="111" spans="1:8" ht="25" customHeight="1" x14ac:dyDescent="0.35">
      <c r="A111" s="7" t="s">
        <v>3065</v>
      </c>
      <c r="B111" s="7" t="s">
        <v>3066</v>
      </c>
      <c r="C111" s="7" t="s">
        <v>4</v>
      </c>
      <c r="D111" s="7">
        <v>6</v>
      </c>
      <c r="E111" s="7" t="s">
        <v>5</v>
      </c>
      <c r="F111" s="7" t="s">
        <v>3067</v>
      </c>
      <c r="G111" s="7" t="s">
        <v>3068</v>
      </c>
      <c r="H111" s="7">
        <f t="shared" si="1"/>
        <v>1</v>
      </c>
    </row>
    <row r="112" spans="1:8" ht="25" customHeight="1" x14ac:dyDescent="0.35">
      <c r="A112" s="7" t="s">
        <v>1520</v>
      </c>
      <c r="B112" s="7" t="s">
        <v>1521</v>
      </c>
      <c r="C112" s="7" t="s">
        <v>4</v>
      </c>
      <c r="D112" s="7">
        <v>6</v>
      </c>
      <c r="E112" s="7" t="s">
        <v>5</v>
      </c>
      <c r="F112" s="7" t="s">
        <v>3069</v>
      </c>
      <c r="G112" s="7" t="s">
        <v>3070</v>
      </c>
      <c r="H112" s="7">
        <f t="shared" si="1"/>
        <v>1</v>
      </c>
    </row>
    <row r="113" spans="7:8" x14ac:dyDescent="0.35">
      <c r="G113" s="2" t="s">
        <v>3496</v>
      </c>
      <c r="H113" s="2">
        <f>SUM(H2:H112)</f>
        <v>196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A38D-A800-47C3-BDE0-E7D1D3DE9282}">
  <dimension ref="A1:H103"/>
  <sheetViews>
    <sheetView view="pageBreakPreview" topLeftCell="A92" zoomScale="85" zoomScaleNormal="85" zoomScaleSheetLayoutView="85" workbookViewId="0">
      <selection activeCell="H103" sqref="G103:H103"/>
    </sheetView>
  </sheetViews>
  <sheetFormatPr defaultColWidth="36.54296875" defaultRowHeight="16" x14ac:dyDescent="0.35"/>
  <cols>
    <col min="1" max="1" width="15.08984375" style="1" customWidth="1"/>
    <col min="2" max="2" width="47" style="1" customWidth="1"/>
    <col min="3" max="3" width="6.36328125" style="1" customWidth="1"/>
    <col min="4" max="4" width="8.81640625" style="1" customWidth="1"/>
    <col min="5" max="5" width="6.7265625" style="1" customWidth="1"/>
    <col min="6" max="6" width="9.7265625" style="1" bestFit="1" customWidth="1"/>
    <col min="7" max="7" width="12.54296875" style="1" bestFit="1" customWidth="1"/>
    <col min="8" max="8" width="7.906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3071</v>
      </c>
      <c r="C1" s="6" t="s">
        <v>3480</v>
      </c>
      <c r="D1" s="5" t="s">
        <v>3488</v>
      </c>
      <c r="E1" s="6" t="s">
        <v>3484</v>
      </c>
      <c r="F1" s="6" t="s">
        <v>3481</v>
      </c>
      <c r="G1" s="6" t="s">
        <v>3482</v>
      </c>
      <c r="H1" s="6" t="s">
        <v>3495</v>
      </c>
    </row>
    <row r="2" spans="1:8" ht="25" customHeight="1" x14ac:dyDescent="0.35">
      <c r="A2" s="7" t="s">
        <v>539</v>
      </c>
      <c r="B2" s="7" t="s">
        <v>540</v>
      </c>
      <c r="C2" s="7" t="s">
        <v>4</v>
      </c>
      <c r="D2" s="7">
        <v>24</v>
      </c>
      <c r="E2" s="7" t="s">
        <v>5</v>
      </c>
      <c r="F2" s="7" t="s">
        <v>3072</v>
      </c>
      <c r="G2" s="7" t="s">
        <v>3073</v>
      </c>
      <c r="H2" s="7">
        <f>D2/12</f>
        <v>2</v>
      </c>
    </row>
    <row r="3" spans="1:8" ht="25" customHeight="1" x14ac:dyDescent="0.35">
      <c r="A3" s="7" t="s">
        <v>2278</v>
      </c>
      <c r="B3" s="7" t="s">
        <v>2279</v>
      </c>
      <c r="C3" s="7" t="s">
        <v>4</v>
      </c>
      <c r="D3" s="7">
        <v>12</v>
      </c>
      <c r="E3" s="7" t="s">
        <v>5</v>
      </c>
      <c r="F3" s="7" t="s">
        <v>3074</v>
      </c>
      <c r="G3" s="7" t="s">
        <v>3075</v>
      </c>
      <c r="H3" s="7">
        <f t="shared" ref="H3:H66" si="0">D3/12</f>
        <v>1</v>
      </c>
    </row>
    <row r="4" spans="1:8" ht="25" customHeight="1" x14ac:dyDescent="0.35">
      <c r="A4" s="7" t="s">
        <v>929</v>
      </c>
      <c r="B4" s="7" t="s">
        <v>930</v>
      </c>
      <c r="C4" s="7" t="s">
        <v>4</v>
      </c>
      <c r="D4" s="7">
        <v>12</v>
      </c>
      <c r="E4" s="7" t="s">
        <v>5</v>
      </c>
      <c r="F4" s="7" t="s">
        <v>3076</v>
      </c>
      <c r="G4" s="7" t="s">
        <v>3077</v>
      </c>
      <c r="H4" s="7">
        <f t="shared" si="0"/>
        <v>1</v>
      </c>
    </row>
    <row r="5" spans="1:8" ht="25" customHeight="1" x14ac:dyDescent="0.35">
      <c r="A5" s="7" t="s">
        <v>3078</v>
      </c>
      <c r="B5" s="7" t="s">
        <v>3079</v>
      </c>
      <c r="C5" s="7" t="s">
        <v>4</v>
      </c>
      <c r="D5" s="7">
        <v>12</v>
      </c>
      <c r="E5" s="7" t="s">
        <v>5</v>
      </c>
      <c r="F5" s="7" t="s">
        <v>3080</v>
      </c>
      <c r="G5" s="7" t="s">
        <v>3081</v>
      </c>
      <c r="H5" s="7">
        <f t="shared" si="0"/>
        <v>1</v>
      </c>
    </row>
    <row r="6" spans="1:8" ht="25" customHeight="1" x14ac:dyDescent="0.35">
      <c r="A6" s="7" t="s">
        <v>2288</v>
      </c>
      <c r="B6" s="7" t="s">
        <v>2289</v>
      </c>
      <c r="C6" s="7" t="s">
        <v>53</v>
      </c>
      <c r="D6" s="7">
        <v>24</v>
      </c>
      <c r="E6" s="7" t="s">
        <v>5</v>
      </c>
      <c r="F6" s="7" t="s">
        <v>3082</v>
      </c>
      <c r="G6" s="7" t="s">
        <v>3083</v>
      </c>
      <c r="H6" s="7">
        <f t="shared" si="0"/>
        <v>2</v>
      </c>
    </row>
    <row r="7" spans="1:8" ht="25" customHeight="1" x14ac:dyDescent="0.35">
      <c r="A7" s="7" t="s">
        <v>2292</v>
      </c>
      <c r="B7" s="7" t="s">
        <v>2293</v>
      </c>
      <c r="C7" s="7" t="s">
        <v>4</v>
      </c>
      <c r="D7" s="7">
        <v>120</v>
      </c>
      <c r="E7" s="7" t="s">
        <v>5</v>
      </c>
      <c r="F7" s="7" t="s">
        <v>3084</v>
      </c>
      <c r="G7" s="7" t="s">
        <v>3085</v>
      </c>
      <c r="H7" s="7">
        <f t="shared" si="0"/>
        <v>10</v>
      </c>
    </row>
    <row r="8" spans="1:8" ht="25" customHeight="1" x14ac:dyDescent="0.35">
      <c r="A8" s="7" t="s">
        <v>2296</v>
      </c>
      <c r="B8" s="7" t="s">
        <v>2297</v>
      </c>
      <c r="C8" s="7" t="s">
        <v>4</v>
      </c>
      <c r="D8" s="7">
        <v>24</v>
      </c>
      <c r="E8" s="7" t="s">
        <v>5</v>
      </c>
      <c r="F8" s="7" t="s">
        <v>3086</v>
      </c>
      <c r="G8" s="7" t="s">
        <v>3087</v>
      </c>
      <c r="H8" s="7">
        <f t="shared" si="0"/>
        <v>2</v>
      </c>
    </row>
    <row r="9" spans="1:8" ht="25" customHeight="1" x14ac:dyDescent="0.35">
      <c r="A9" s="7" t="s">
        <v>3088</v>
      </c>
      <c r="B9" s="7" t="s">
        <v>3089</v>
      </c>
      <c r="C9" s="7" t="s">
        <v>53</v>
      </c>
      <c r="D9" s="7">
        <v>12</v>
      </c>
      <c r="E9" s="7" t="s">
        <v>5</v>
      </c>
      <c r="F9" s="7" t="s">
        <v>3090</v>
      </c>
      <c r="G9" s="7" t="s">
        <v>3091</v>
      </c>
      <c r="H9" s="7">
        <f t="shared" si="0"/>
        <v>1</v>
      </c>
    </row>
    <row r="10" spans="1:8" ht="25" customHeight="1" x14ac:dyDescent="0.35">
      <c r="A10" s="7" t="s">
        <v>3092</v>
      </c>
      <c r="B10" s="7" t="s">
        <v>3093</v>
      </c>
      <c r="C10" s="7" t="s">
        <v>4</v>
      </c>
      <c r="D10" s="7">
        <v>24</v>
      </c>
      <c r="E10" s="7" t="s">
        <v>5</v>
      </c>
      <c r="F10" s="7" t="s">
        <v>3094</v>
      </c>
      <c r="G10" s="7" t="s">
        <v>3095</v>
      </c>
      <c r="H10" s="7">
        <f t="shared" si="0"/>
        <v>2</v>
      </c>
    </row>
    <row r="11" spans="1:8" ht="25" customHeight="1" x14ac:dyDescent="0.35">
      <c r="A11" s="7" t="s">
        <v>3096</v>
      </c>
      <c r="B11" s="7" t="s">
        <v>3097</v>
      </c>
      <c r="C11" s="7" t="s">
        <v>4</v>
      </c>
      <c r="D11" s="7">
        <v>24</v>
      </c>
      <c r="E11" s="7" t="s">
        <v>5</v>
      </c>
      <c r="F11" s="7" t="s">
        <v>3098</v>
      </c>
      <c r="G11" s="7" t="s">
        <v>3099</v>
      </c>
      <c r="H11" s="7">
        <f t="shared" si="0"/>
        <v>2</v>
      </c>
    </row>
    <row r="12" spans="1:8" ht="25" customHeight="1" x14ac:dyDescent="0.35">
      <c r="A12" s="7" t="s">
        <v>2852</v>
      </c>
      <c r="B12" s="7" t="s">
        <v>2853</v>
      </c>
      <c r="C12" s="7" t="s">
        <v>4</v>
      </c>
      <c r="D12" s="7">
        <v>24</v>
      </c>
      <c r="E12" s="7" t="s">
        <v>5</v>
      </c>
      <c r="F12" s="7" t="s">
        <v>3100</v>
      </c>
      <c r="G12" s="7" t="s">
        <v>3101</v>
      </c>
      <c r="H12" s="7">
        <f t="shared" si="0"/>
        <v>2</v>
      </c>
    </row>
    <row r="13" spans="1:8" ht="25" customHeight="1" x14ac:dyDescent="0.35">
      <c r="A13" s="7" t="s">
        <v>600</v>
      </c>
      <c r="B13" s="7" t="s">
        <v>601</v>
      </c>
      <c r="C13" s="7" t="s">
        <v>53</v>
      </c>
      <c r="D13" s="7">
        <v>12</v>
      </c>
      <c r="E13" s="7" t="s">
        <v>5</v>
      </c>
      <c r="F13" s="7" t="s">
        <v>3102</v>
      </c>
      <c r="G13" s="7" t="s">
        <v>3103</v>
      </c>
      <c r="H13" s="7">
        <f t="shared" si="0"/>
        <v>1</v>
      </c>
    </row>
    <row r="14" spans="1:8" ht="25" customHeight="1" x14ac:dyDescent="0.35">
      <c r="A14" s="7" t="s">
        <v>3104</v>
      </c>
      <c r="B14" s="7" t="s">
        <v>3105</v>
      </c>
      <c r="C14" s="7" t="s">
        <v>4</v>
      </c>
      <c r="D14" s="7">
        <v>12</v>
      </c>
      <c r="E14" s="7" t="s">
        <v>5</v>
      </c>
      <c r="F14" s="7" t="s">
        <v>3106</v>
      </c>
      <c r="G14" s="7" t="s">
        <v>3107</v>
      </c>
      <c r="H14" s="7">
        <f t="shared" si="0"/>
        <v>1</v>
      </c>
    </row>
    <row r="15" spans="1:8" ht="25" customHeight="1" x14ac:dyDescent="0.35">
      <c r="A15" s="7" t="s">
        <v>2319</v>
      </c>
      <c r="B15" s="7" t="s">
        <v>2320</v>
      </c>
      <c r="C15" s="7" t="s">
        <v>53</v>
      </c>
      <c r="D15" s="7">
        <v>24</v>
      </c>
      <c r="E15" s="7" t="s">
        <v>5</v>
      </c>
      <c r="F15" s="7" t="s">
        <v>3108</v>
      </c>
      <c r="G15" s="7" t="s">
        <v>3109</v>
      </c>
      <c r="H15" s="7">
        <f t="shared" si="0"/>
        <v>2</v>
      </c>
    </row>
    <row r="16" spans="1:8" ht="25" customHeight="1" x14ac:dyDescent="0.35">
      <c r="A16" s="7" t="s">
        <v>204</v>
      </c>
      <c r="B16" s="7" t="s">
        <v>205</v>
      </c>
      <c r="C16" s="7" t="s">
        <v>53</v>
      </c>
      <c r="D16" s="7">
        <v>24</v>
      </c>
      <c r="E16" s="7" t="s">
        <v>5</v>
      </c>
      <c r="F16" s="7" t="s">
        <v>3110</v>
      </c>
      <c r="G16" s="7" t="s">
        <v>3111</v>
      </c>
      <c r="H16" s="7">
        <f t="shared" si="0"/>
        <v>2</v>
      </c>
    </row>
    <row r="17" spans="1:8" ht="25" customHeight="1" x14ac:dyDescent="0.35">
      <c r="A17" s="7" t="s">
        <v>2324</v>
      </c>
      <c r="B17" s="7" t="s">
        <v>2325</v>
      </c>
      <c r="C17" s="7" t="s">
        <v>53</v>
      </c>
      <c r="D17" s="7">
        <v>60</v>
      </c>
      <c r="E17" s="7" t="s">
        <v>5</v>
      </c>
      <c r="F17" s="7" t="s">
        <v>3112</v>
      </c>
      <c r="G17" s="7" t="s">
        <v>3113</v>
      </c>
      <c r="H17" s="7">
        <f t="shared" si="0"/>
        <v>5</v>
      </c>
    </row>
    <row r="18" spans="1:8" ht="25" customHeight="1" x14ac:dyDescent="0.35">
      <c r="A18" s="7" t="s">
        <v>1098</v>
      </c>
      <c r="B18" s="7" t="s">
        <v>1099</v>
      </c>
      <c r="C18" s="7" t="s">
        <v>53</v>
      </c>
      <c r="D18" s="7">
        <v>60</v>
      </c>
      <c r="E18" s="7" t="s">
        <v>5</v>
      </c>
      <c r="F18" s="7" t="s">
        <v>3114</v>
      </c>
      <c r="G18" s="7" t="s">
        <v>3115</v>
      </c>
      <c r="H18" s="7">
        <f t="shared" si="0"/>
        <v>5</v>
      </c>
    </row>
    <row r="19" spans="1:8" ht="25" customHeight="1" x14ac:dyDescent="0.35">
      <c r="A19" s="7" t="s">
        <v>554</v>
      </c>
      <c r="B19" s="7" t="s">
        <v>555</v>
      </c>
      <c r="C19" s="7" t="s">
        <v>53</v>
      </c>
      <c r="D19" s="7">
        <v>60</v>
      </c>
      <c r="E19" s="7" t="s">
        <v>5</v>
      </c>
      <c r="F19" s="7" t="s">
        <v>3116</v>
      </c>
      <c r="G19" s="7" t="s">
        <v>3117</v>
      </c>
      <c r="H19" s="7">
        <f t="shared" si="0"/>
        <v>5</v>
      </c>
    </row>
    <row r="20" spans="1:8" ht="25" customHeight="1" x14ac:dyDescent="0.35">
      <c r="A20" s="7" t="s">
        <v>428</v>
      </c>
      <c r="B20" s="7" t="s">
        <v>429</v>
      </c>
      <c r="C20" s="7" t="s">
        <v>53</v>
      </c>
      <c r="D20" s="7">
        <v>60</v>
      </c>
      <c r="E20" s="7" t="s">
        <v>5</v>
      </c>
      <c r="F20" s="7" t="s">
        <v>430</v>
      </c>
      <c r="G20" s="7" t="s">
        <v>1097</v>
      </c>
      <c r="H20" s="7">
        <f t="shared" si="0"/>
        <v>5</v>
      </c>
    </row>
    <row r="21" spans="1:8" ht="25" customHeight="1" x14ac:dyDescent="0.35">
      <c r="A21" s="7" t="s">
        <v>80</v>
      </c>
      <c r="B21" s="7" t="s">
        <v>81</v>
      </c>
      <c r="C21" s="7" t="s">
        <v>53</v>
      </c>
      <c r="D21" s="7">
        <v>120</v>
      </c>
      <c r="E21" s="7" t="s">
        <v>5</v>
      </c>
      <c r="F21" s="7" t="s">
        <v>2632</v>
      </c>
      <c r="G21" s="7" t="s">
        <v>2633</v>
      </c>
      <c r="H21" s="7">
        <f t="shared" si="0"/>
        <v>10</v>
      </c>
    </row>
    <row r="22" spans="1:8" ht="25" customHeight="1" x14ac:dyDescent="0.35">
      <c r="A22" s="7" t="s">
        <v>2336</v>
      </c>
      <c r="B22" s="7" t="s">
        <v>2337</v>
      </c>
      <c r="C22" s="7" t="s">
        <v>4</v>
      </c>
      <c r="D22" s="7">
        <v>24</v>
      </c>
      <c r="E22" s="7" t="s">
        <v>5</v>
      </c>
      <c r="F22" s="7" t="s">
        <v>3118</v>
      </c>
      <c r="G22" s="7" t="s">
        <v>3119</v>
      </c>
      <c r="H22" s="7">
        <f t="shared" si="0"/>
        <v>2</v>
      </c>
    </row>
    <row r="23" spans="1:8" ht="25" customHeight="1" x14ac:dyDescent="0.35">
      <c r="A23" s="7" t="s">
        <v>2340</v>
      </c>
      <c r="B23" s="7" t="s">
        <v>2341</v>
      </c>
      <c r="C23" s="7" t="s">
        <v>4</v>
      </c>
      <c r="D23" s="7">
        <v>12</v>
      </c>
      <c r="E23" s="7" t="s">
        <v>5</v>
      </c>
      <c r="F23" s="7" t="s">
        <v>3120</v>
      </c>
      <c r="G23" s="7" t="s">
        <v>3121</v>
      </c>
      <c r="H23" s="7">
        <f t="shared" si="0"/>
        <v>1</v>
      </c>
    </row>
    <row r="24" spans="1:8" ht="25" customHeight="1" x14ac:dyDescent="0.35">
      <c r="A24" s="7" t="s">
        <v>2344</v>
      </c>
      <c r="B24" s="7" t="s">
        <v>2345</v>
      </c>
      <c r="C24" s="7" t="s">
        <v>4</v>
      </c>
      <c r="D24" s="7">
        <v>12</v>
      </c>
      <c r="E24" s="7" t="s">
        <v>5</v>
      </c>
      <c r="F24" s="7" t="s">
        <v>3122</v>
      </c>
      <c r="G24" s="7" t="s">
        <v>3123</v>
      </c>
      <c r="H24" s="7">
        <f t="shared" si="0"/>
        <v>1</v>
      </c>
    </row>
    <row r="25" spans="1:8" ht="25" customHeight="1" x14ac:dyDescent="0.35">
      <c r="A25" s="7" t="s">
        <v>584</v>
      </c>
      <c r="B25" s="7" t="s">
        <v>585</v>
      </c>
      <c r="C25" s="7" t="s">
        <v>4</v>
      </c>
      <c r="D25" s="7">
        <v>24</v>
      </c>
      <c r="E25" s="7" t="s">
        <v>5</v>
      </c>
      <c r="F25" s="7" t="s">
        <v>3124</v>
      </c>
      <c r="G25" s="7" t="s">
        <v>3125</v>
      </c>
      <c r="H25" s="7">
        <f t="shared" si="0"/>
        <v>2</v>
      </c>
    </row>
    <row r="26" spans="1:8" ht="25" customHeight="1" x14ac:dyDescent="0.35">
      <c r="A26" s="7" t="s">
        <v>3126</v>
      </c>
      <c r="B26" s="7" t="s">
        <v>3127</v>
      </c>
      <c r="C26" s="7" t="s">
        <v>4</v>
      </c>
      <c r="D26" s="7">
        <v>12</v>
      </c>
      <c r="E26" s="7" t="s">
        <v>5</v>
      </c>
      <c r="F26" s="7" t="s">
        <v>3128</v>
      </c>
      <c r="G26" s="7" t="s">
        <v>3129</v>
      </c>
      <c r="H26" s="7">
        <f t="shared" si="0"/>
        <v>1</v>
      </c>
    </row>
    <row r="27" spans="1:8" ht="25" customHeight="1" x14ac:dyDescent="0.35">
      <c r="A27" s="7" t="s">
        <v>2966</v>
      </c>
      <c r="B27" s="7" t="s">
        <v>2967</v>
      </c>
      <c r="C27" s="7" t="s">
        <v>4</v>
      </c>
      <c r="D27" s="7">
        <v>12</v>
      </c>
      <c r="E27" s="7" t="s">
        <v>5</v>
      </c>
      <c r="F27" s="7" t="s">
        <v>3130</v>
      </c>
      <c r="G27" s="7" t="s">
        <v>3131</v>
      </c>
      <c r="H27" s="7">
        <f t="shared" si="0"/>
        <v>1</v>
      </c>
    </row>
    <row r="28" spans="1:8" ht="25" customHeight="1" x14ac:dyDescent="0.35">
      <c r="A28" s="7" t="s">
        <v>3132</v>
      </c>
      <c r="B28" s="7" t="s">
        <v>3133</v>
      </c>
      <c r="C28" s="7" t="s">
        <v>4</v>
      </c>
      <c r="D28" s="7">
        <v>12</v>
      </c>
      <c r="E28" s="7" t="s">
        <v>5</v>
      </c>
      <c r="F28" s="7" t="s">
        <v>3134</v>
      </c>
      <c r="G28" s="7" t="s">
        <v>3135</v>
      </c>
      <c r="H28" s="7">
        <f t="shared" si="0"/>
        <v>1</v>
      </c>
    </row>
    <row r="29" spans="1:8" ht="25" customHeight="1" x14ac:dyDescent="0.35">
      <c r="A29" s="7" t="s">
        <v>3136</v>
      </c>
      <c r="B29" s="7" t="s">
        <v>3137</v>
      </c>
      <c r="C29" s="7" t="s">
        <v>4</v>
      </c>
      <c r="D29" s="7">
        <v>12</v>
      </c>
      <c r="E29" s="7" t="s">
        <v>5</v>
      </c>
      <c r="F29" s="7" t="s">
        <v>3138</v>
      </c>
      <c r="G29" s="7" t="s">
        <v>3139</v>
      </c>
      <c r="H29" s="7">
        <f t="shared" si="0"/>
        <v>1</v>
      </c>
    </row>
    <row r="30" spans="1:8" ht="25" customHeight="1" x14ac:dyDescent="0.35">
      <c r="A30" s="7" t="s">
        <v>3140</v>
      </c>
      <c r="B30" s="7" t="s">
        <v>3141</v>
      </c>
      <c r="C30" s="7" t="s">
        <v>4</v>
      </c>
      <c r="D30" s="7">
        <v>12</v>
      </c>
      <c r="E30" s="7" t="s">
        <v>5</v>
      </c>
      <c r="F30" s="7" t="s">
        <v>3142</v>
      </c>
      <c r="G30" s="7" t="s">
        <v>3143</v>
      </c>
      <c r="H30" s="7">
        <f t="shared" si="0"/>
        <v>1</v>
      </c>
    </row>
    <row r="31" spans="1:8" ht="25" customHeight="1" x14ac:dyDescent="0.35">
      <c r="A31" s="7" t="s">
        <v>3144</v>
      </c>
      <c r="B31" s="7" t="s">
        <v>3145</v>
      </c>
      <c r="C31" s="7" t="s">
        <v>4</v>
      </c>
      <c r="D31" s="7">
        <v>12</v>
      </c>
      <c r="E31" s="7" t="s">
        <v>5</v>
      </c>
      <c r="F31" s="7" t="s">
        <v>3146</v>
      </c>
      <c r="G31" s="7" t="s">
        <v>3147</v>
      </c>
      <c r="H31" s="7">
        <f t="shared" si="0"/>
        <v>1</v>
      </c>
    </row>
    <row r="32" spans="1:8" ht="25" customHeight="1" x14ac:dyDescent="0.35">
      <c r="A32" s="7" t="s">
        <v>3148</v>
      </c>
      <c r="B32" s="7" t="s">
        <v>3149</v>
      </c>
      <c r="C32" s="7" t="s">
        <v>4</v>
      </c>
      <c r="D32" s="7">
        <v>24</v>
      </c>
      <c r="E32" s="7" t="s">
        <v>5</v>
      </c>
      <c r="F32" s="7" t="s">
        <v>3150</v>
      </c>
      <c r="G32" s="7" t="s">
        <v>3151</v>
      </c>
      <c r="H32" s="7">
        <f t="shared" si="0"/>
        <v>2</v>
      </c>
    </row>
    <row r="33" spans="1:8" ht="25" customHeight="1" x14ac:dyDescent="0.35">
      <c r="A33" s="7" t="s">
        <v>3152</v>
      </c>
      <c r="B33" s="7" t="s">
        <v>3153</v>
      </c>
      <c r="C33" s="7" t="s">
        <v>4</v>
      </c>
      <c r="D33" s="7">
        <v>24</v>
      </c>
      <c r="E33" s="7" t="s">
        <v>5</v>
      </c>
      <c r="F33" s="7" t="s">
        <v>3142</v>
      </c>
      <c r="G33" s="7" t="s">
        <v>3154</v>
      </c>
      <c r="H33" s="7">
        <f t="shared" si="0"/>
        <v>2</v>
      </c>
    </row>
    <row r="34" spans="1:8" ht="25" customHeight="1" x14ac:dyDescent="0.35">
      <c r="A34" s="7" t="s">
        <v>762</v>
      </c>
      <c r="B34" s="7" t="s">
        <v>763</v>
      </c>
      <c r="C34" s="7" t="s">
        <v>4</v>
      </c>
      <c r="D34" s="7">
        <v>12</v>
      </c>
      <c r="E34" s="7" t="s">
        <v>5</v>
      </c>
      <c r="F34" s="7" t="s">
        <v>3155</v>
      </c>
      <c r="G34" s="7" t="s">
        <v>3156</v>
      </c>
      <c r="H34" s="7">
        <f t="shared" si="0"/>
        <v>1</v>
      </c>
    </row>
    <row r="35" spans="1:8" ht="25" customHeight="1" x14ac:dyDescent="0.35">
      <c r="A35" s="7" t="s">
        <v>3157</v>
      </c>
      <c r="B35" s="7" t="s">
        <v>3158</v>
      </c>
      <c r="C35" s="7" t="s">
        <v>4</v>
      </c>
      <c r="D35" s="7">
        <v>12</v>
      </c>
      <c r="E35" s="7" t="s">
        <v>5</v>
      </c>
      <c r="F35" s="7" t="s">
        <v>3159</v>
      </c>
      <c r="G35" s="7" t="s">
        <v>3160</v>
      </c>
      <c r="H35" s="7">
        <f t="shared" si="0"/>
        <v>1</v>
      </c>
    </row>
    <row r="36" spans="1:8" ht="25" customHeight="1" x14ac:dyDescent="0.35">
      <c r="A36" s="7" t="s">
        <v>2899</v>
      </c>
      <c r="B36" s="7" t="s">
        <v>2900</v>
      </c>
      <c r="C36" s="7" t="s">
        <v>4</v>
      </c>
      <c r="D36" s="7">
        <v>12</v>
      </c>
      <c r="E36" s="7" t="s">
        <v>5</v>
      </c>
      <c r="F36" s="7" t="s">
        <v>3161</v>
      </c>
      <c r="G36" s="7" t="s">
        <v>3162</v>
      </c>
      <c r="H36" s="7">
        <f t="shared" si="0"/>
        <v>1</v>
      </c>
    </row>
    <row r="37" spans="1:8" ht="25" customHeight="1" x14ac:dyDescent="0.35">
      <c r="A37" s="7" t="s">
        <v>2364</v>
      </c>
      <c r="B37" s="7" t="s">
        <v>2365</v>
      </c>
      <c r="C37" s="7" t="s">
        <v>4</v>
      </c>
      <c r="D37" s="7">
        <v>24</v>
      </c>
      <c r="E37" s="7" t="s">
        <v>5</v>
      </c>
      <c r="F37" s="7" t="s">
        <v>1902</v>
      </c>
      <c r="G37" s="7" t="s">
        <v>3163</v>
      </c>
      <c r="H37" s="7">
        <f t="shared" si="0"/>
        <v>2</v>
      </c>
    </row>
    <row r="38" spans="1:8" ht="25" customHeight="1" x14ac:dyDescent="0.35">
      <c r="A38" s="7" t="s">
        <v>981</v>
      </c>
      <c r="B38" s="7" t="s">
        <v>982</v>
      </c>
      <c r="C38" s="7" t="s">
        <v>4</v>
      </c>
      <c r="D38" s="7">
        <v>24</v>
      </c>
      <c r="E38" s="7" t="s">
        <v>5</v>
      </c>
      <c r="F38" s="7" t="s">
        <v>3164</v>
      </c>
      <c r="G38" s="7" t="s">
        <v>3165</v>
      </c>
      <c r="H38" s="7">
        <f t="shared" si="0"/>
        <v>2</v>
      </c>
    </row>
    <row r="39" spans="1:8" ht="25" customHeight="1" x14ac:dyDescent="0.35">
      <c r="A39" s="7" t="s">
        <v>3166</v>
      </c>
      <c r="B39" s="7" t="s">
        <v>3167</v>
      </c>
      <c r="C39" s="7" t="s">
        <v>4</v>
      </c>
      <c r="D39" s="7">
        <v>24</v>
      </c>
      <c r="E39" s="7" t="s">
        <v>5</v>
      </c>
      <c r="F39" s="7" t="s">
        <v>3168</v>
      </c>
      <c r="G39" s="7" t="s">
        <v>3169</v>
      </c>
      <c r="H39" s="7">
        <f t="shared" si="0"/>
        <v>2</v>
      </c>
    </row>
    <row r="40" spans="1:8" ht="25" customHeight="1" x14ac:dyDescent="0.35">
      <c r="A40" s="7" t="s">
        <v>3170</v>
      </c>
      <c r="B40" s="7" t="s">
        <v>3171</v>
      </c>
      <c r="C40" s="7" t="s">
        <v>4</v>
      </c>
      <c r="D40" s="7">
        <v>12</v>
      </c>
      <c r="E40" s="7" t="s">
        <v>5</v>
      </c>
      <c r="F40" s="7" t="s">
        <v>3168</v>
      </c>
      <c r="G40" s="7" t="s">
        <v>3172</v>
      </c>
      <c r="H40" s="7">
        <f t="shared" si="0"/>
        <v>1</v>
      </c>
    </row>
    <row r="41" spans="1:8" ht="25" customHeight="1" x14ac:dyDescent="0.35">
      <c r="A41" s="7" t="s">
        <v>3173</v>
      </c>
      <c r="B41" s="7" t="s">
        <v>3174</v>
      </c>
      <c r="C41" s="7" t="s">
        <v>4</v>
      </c>
      <c r="D41" s="7">
        <v>24</v>
      </c>
      <c r="E41" s="7" t="s">
        <v>5</v>
      </c>
      <c r="F41" s="7" t="s">
        <v>3175</v>
      </c>
      <c r="G41" s="7" t="s">
        <v>3176</v>
      </c>
      <c r="H41" s="7">
        <f t="shared" si="0"/>
        <v>2</v>
      </c>
    </row>
    <row r="42" spans="1:8" ht="25" customHeight="1" x14ac:dyDescent="0.35">
      <c r="A42" s="7" t="s">
        <v>3177</v>
      </c>
      <c r="B42" s="7" t="s">
        <v>3178</v>
      </c>
      <c r="C42" s="7" t="s">
        <v>4</v>
      </c>
      <c r="D42" s="7">
        <v>48</v>
      </c>
      <c r="E42" s="7" t="s">
        <v>5</v>
      </c>
      <c r="F42" s="7" t="s">
        <v>3179</v>
      </c>
      <c r="G42" s="7" t="s">
        <v>3180</v>
      </c>
      <c r="H42" s="7">
        <f t="shared" si="0"/>
        <v>4</v>
      </c>
    </row>
    <row r="43" spans="1:8" ht="25" customHeight="1" x14ac:dyDescent="0.35">
      <c r="A43" s="7" t="s">
        <v>3181</v>
      </c>
      <c r="B43" s="7" t="s">
        <v>3182</v>
      </c>
      <c r="C43" s="7" t="s">
        <v>4</v>
      </c>
      <c r="D43" s="7">
        <v>24</v>
      </c>
      <c r="E43" s="7" t="s">
        <v>5</v>
      </c>
      <c r="F43" s="7" t="s">
        <v>3183</v>
      </c>
      <c r="G43" s="7" t="s">
        <v>3184</v>
      </c>
      <c r="H43" s="7">
        <f t="shared" si="0"/>
        <v>2</v>
      </c>
    </row>
    <row r="44" spans="1:8" ht="25" customHeight="1" x14ac:dyDescent="0.35">
      <c r="A44" s="7" t="s">
        <v>3185</v>
      </c>
      <c r="B44" s="7" t="s">
        <v>3186</v>
      </c>
      <c r="C44" s="7" t="s">
        <v>4</v>
      </c>
      <c r="D44" s="7">
        <v>24</v>
      </c>
      <c r="E44" s="7" t="s">
        <v>5</v>
      </c>
      <c r="F44" s="7" t="s">
        <v>3187</v>
      </c>
      <c r="G44" s="7" t="s">
        <v>3188</v>
      </c>
      <c r="H44" s="7">
        <f t="shared" si="0"/>
        <v>2</v>
      </c>
    </row>
    <row r="45" spans="1:8" ht="25" customHeight="1" x14ac:dyDescent="0.35">
      <c r="A45" s="7" t="s">
        <v>3189</v>
      </c>
      <c r="B45" s="7" t="s">
        <v>3190</v>
      </c>
      <c r="C45" s="7" t="s">
        <v>4</v>
      </c>
      <c r="D45" s="7">
        <v>48</v>
      </c>
      <c r="E45" s="7" t="s">
        <v>5</v>
      </c>
      <c r="F45" s="7" t="s">
        <v>3187</v>
      </c>
      <c r="G45" s="7" t="s">
        <v>3191</v>
      </c>
      <c r="H45" s="7">
        <f t="shared" si="0"/>
        <v>4</v>
      </c>
    </row>
    <row r="46" spans="1:8" ht="25" customHeight="1" x14ac:dyDescent="0.35">
      <c r="A46" s="7" t="s">
        <v>3022</v>
      </c>
      <c r="B46" s="7" t="s">
        <v>3023</v>
      </c>
      <c r="C46" s="7" t="s">
        <v>4</v>
      </c>
      <c r="D46" s="7">
        <v>12</v>
      </c>
      <c r="E46" s="7" t="s">
        <v>5</v>
      </c>
      <c r="F46" s="7" t="s">
        <v>3192</v>
      </c>
      <c r="G46" s="7" t="s">
        <v>3193</v>
      </c>
      <c r="H46" s="7">
        <f t="shared" si="0"/>
        <v>1</v>
      </c>
    </row>
    <row r="47" spans="1:8" ht="25" customHeight="1" x14ac:dyDescent="0.35">
      <c r="A47" s="7" t="s">
        <v>3026</v>
      </c>
      <c r="B47" s="7" t="s">
        <v>3027</v>
      </c>
      <c r="C47" s="7" t="s">
        <v>4</v>
      </c>
      <c r="D47" s="7">
        <v>12</v>
      </c>
      <c r="E47" s="7" t="s">
        <v>5</v>
      </c>
      <c r="F47" s="7" t="s">
        <v>3194</v>
      </c>
      <c r="G47" s="7" t="s">
        <v>3195</v>
      </c>
      <c r="H47" s="7">
        <f t="shared" si="0"/>
        <v>1</v>
      </c>
    </row>
    <row r="48" spans="1:8" ht="25" customHeight="1" x14ac:dyDescent="0.35">
      <c r="A48" s="7" t="s">
        <v>3030</v>
      </c>
      <c r="B48" s="7" t="s">
        <v>3031</v>
      </c>
      <c r="C48" s="7" t="s">
        <v>53</v>
      </c>
      <c r="D48" s="7">
        <v>24</v>
      </c>
      <c r="E48" s="7" t="s">
        <v>5</v>
      </c>
      <c r="F48" s="7" t="s">
        <v>3196</v>
      </c>
      <c r="G48" s="7" t="s">
        <v>3197</v>
      </c>
      <c r="H48" s="7">
        <f t="shared" si="0"/>
        <v>2</v>
      </c>
    </row>
    <row r="49" spans="1:8" ht="25" customHeight="1" x14ac:dyDescent="0.35">
      <c r="A49" s="7" t="s">
        <v>3034</v>
      </c>
      <c r="B49" s="7" t="s">
        <v>3035</v>
      </c>
      <c r="C49" s="7" t="s">
        <v>4</v>
      </c>
      <c r="D49" s="7">
        <v>24</v>
      </c>
      <c r="E49" s="7" t="s">
        <v>5</v>
      </c>
      <c r="F49" s="7" t="s">
        <v>3198</v>
      </c>
      <c r="G49" s="7" t="s">
        <v>3199</v>
      </c>
      <c r="H49" s="7">
        <f t="shared" si="0"/>
        <v>2</v>
      </c>
    </row>
    <row r="50" spans="1:8" ht="25" customHeight="1" x14ac:dyDescent="0.35">
      <c r="A50" s="7" t="s">
        <v>3200</v>
      </c>
      <c r="B50" s="7" t="s">
        <v>3201</v>
      </c>
      <c r="C50" s="7" t="s">
        <v>4</v>
      </c>
      <c r="D50" s="7">
        <v>12</v>
      </c>
      <c r="E50" s="7" t="s">
        <v>5</v>
      </c>
      <c r="F50" s="7" t="s">
        <v>3202</v>
      </c>
      <c r="G50" s="7" t="s">
        <v>3203</v>
      </c>
      <c r="H50" s="7">
        <f t="shared" si="0"/>
        <v>1</v>
      </c>
    </row>
    <row r="51" spans="1:8" ht="25" customHeight="1" x14ac:dyDescent="0.35">
      <c r="A51" s="7" t="s">
        <v>3204</v>
      </c>
      <c r="B51" s="7" t="s">
        <v>3205</v>
      </c>
      <c r="C51" s="7" t="s">
        <v>4</v>
      </c>
      <c r="D51" s="7">
        <v>12</v>
      </c>
      <c r="E51" s="7" t="s">
        <v>5</v>
      </c>
      <c r="F51" s="7" t="s">
        <v>3202</v>
      </c>
      <c r="G51" s="7" t="s">
        <v>3203</v>
      </c>
      <c r="H51" s="7">
        <f t="shared" si="0"/>
        <v>1</v>
      </c>
    </row>
    <row r="52" spans="1:8" ht="25" customHeight="1" x14ac:dyDescent="0.35">
      <c r="A52" s="7" t="s">
        <v>3206</v>
      </c>
      <c r="B52" s="7" t="s">
        <v>3207</v>
      </c>
      <c r="C52" s="7" t="s">
        <v>4</v>
      </c>
      <c r="D52" s="7">
        <v>12</v>
      </c>
      <c r="E52" s="7" t="s">
        <v>5</v>
      </c>
      <c r="F52" s="7" t="s">
        <v>3208</v>
      </c>
      <c r="G52" s="7" t="s">
        <v>3209</v>
      </c>
      <c r="H52" s="7">
        <f t="shared" si="0"/>
        <v>1</v>
      </c>
    </row>
    <row r="53" spans="1:8" ht="25" customHeight="1" x14ac:dyDescent="0.35">
      <c r="A53" s="7" t="s">
        <v>3210</v>
      </c>
      <c r="B53" s="7" t="s">
        <v>3211</v>
      </c>
      <c r="C53" s="7" t="s">
        <v>4</v>
      </c>
      <c r="D53" s="7">
        <v>12</v>
      </c>
      <c r="E53" s="7" t="s">
        <v>5</v>
      </c>
      <c r="F53" s="7" t="s">
        <v>3208</v>
      </c>
      <c r="G53" s="7" t="s">
        <v>3209</v>
      </c>
      <c r="H53" s="7">
        <f t="shared" si="0"/>
        <v>1</v>
      </c>
    </row>
    <row r="54" spans="1:8" ht="25" customHeight="1" x14ac:dyDescent="0.35">
      <c r="A54" s="7" t="s">
        <v>3212</v>
      </c>
      <c r="B54" s="7" t="s">
        <v>3213</v>
      </c>
      <c r="C54" s="7" t="s">
        <v>4</v>
      </c>
      <c r="D54" s="7">
        <v>12</v>
      </c>
      <c r="E54" s="7" t="s">
        <v>5</v>
      </c>
      <c r="F54" s="7" t="s">
        <v>3208</v>
      </c>
      <c r="G54" s="7" t="s">
        <v>3209</v>
      </c>
      <c r="H54" s="7">
        <f t="shared" si="0"/>
        <v>1</v>
      </c>
    </row>
    <row r="55" spans="1:8" ht="25" customHeight="1" x14ac:dyDescent="0.35">
      <c r="A55" s="7" t="s">
        <v>3214</v>
      </c>
      <c r="B55" s="7" t="s">
        <v>3215</v>
      </c>
      <c r="C55" s="7" t="s">
        <v>4</v>
      </c>
      <c r="D55" s="7">
        <v>12</v>
      </c>
      <c r="E55" s="7" t="s">
        <v>5</v>
      </c>
      <c r="F55" s="7" t="s">
        <v>3208</v>
      </c>
      <c r="G55" s="7" t="s">
        <v>3209</v>
      </c>
      <c r="H55" s="7">
        <f t="shared" si="0"/>
        <v>1</v>
      </c>
    </row>
    <row r="56" spans="1:8" ht="25" customHeight="1" x14ac:dyDescent="0.35">
      <c r="A56" s="7" t="s">
        <v>3216</v>
      </c>
      <c r="B56" s="7" t="s">
        <v>3217</v>
      </c>
      <c r="C56" s="7" t="s">
        <v>4</v>
      </c>
      <c r="D56" s="7">
        <v>12</v>
      </c>
      <c r="E56" s="7" t="s">
        <v>5</v>
      </c>
      <c r="F56" s="7" t="s">
        <v>3208</v>
      </c>
      <c r="G56" s="7" t="s">
        <v>3209</v>
      </c>
      <c r="H56" s="7">
        <f t="shared" si="0"/>
        <v>1</v>
      </c>
    </row>
    <row r="57" spans="1:8" ht="25" customHeight="1" x14ac:dyDescent="0.35">
      <c r="A57" s="7" t="s">
        <v>3218</v>
      </c>
      <c r="B57" s="7" t="s">
        <v>3219</v>
      </c>
      <c r="C57" s="7" t="s">
        <v>4</v>
      </c>
      <c r="D57" s="7">
        <v>12</v>
      </c>
      <c r="E57" s="7" t="s">
        <v>5</v>
      </c>
      <c r="F57" s="7" t="s">
        <v>3208</v>
      </c>
      <c r="G57" s="7" t="s">
        <v>3209</v>
      </c>
      <c r="H57" s="7">
        <f t="shared" si="0"/>
        <v>1</v>
      </c>
    </row>
    <row r="58" spans="1:8" ht="25" customHeight="1" x14ac:dyDescent="0.35">
      <c r="A58" s="7" t="s">
        <v>3220</v>
      </c>
      <c r="B58" s="7" t="s">
        <v>3221</v>
      </c>
      <c r="C58" s="7" t="s">
        <v>4</v>
      </c>
      <c r="D58" s="7">
        <v>12</v>
      </c>
      <c r="E58" s="7" t="s">
        <v>5</v>
      </c>
      <c r="F58" s="7" t="s">
        <v>3222</v>
      </c>
      <c r="G58" s="7" t="s">
        <v>3223</v>
      </c>
      <c r="H58" s="7">
        <f t="shared" si="0"/>
        <v>1</v>
      </c>
    </row>
    <row r="59" spans="1:8" ht="25" customHeight="1" x14ac:dyDescent="0.35">
      <c r="A59" s="7" t="s">
        <v>3224</v>
      </c>
      <c r="B59" s="7" t="s">
        <v>3225</v>
      </c>
      <c r="C59" s="7" t="s">
        <v>4</v>
      </c>
      <c r="D59" s="7">
        <v>12</v>
      </c>
      <c r="E59" s="7" t="s">
        <v>5</v>
      </c>
      <c r="F59" s="7" t="s">
        <v>3226</v>
      </c>
      <c r="G59" s="7" t="s">
        <v>3227</v>
      </c>
      <c r="H59" s="7">
        <f t="shared" si="0"/>
        <v>1</v>
      </c>
    </row>
    <row r="60" spans="1:8" ht="25" customHeight="1" x14ac:dyDescent="0.35">
      <c r="A60" s="7" t="s">
        <v>3228</v>
      </c>
      <c r="B60" s="7" t="s">
        <v>3229</v>
      </c>
      <c r="C60" s="7" t="s">
        <v>4</v>
      </c>
      <c r="D60" s="7">
        <v>12</v>
      </c>
      <c r="E60" s="7" t="s">
        <v>5</v>
      </c>
      <c r="F60" s="7" t="s">
        <v>3226</v>
      </c>
      <c r="G60" s="7" t="s">
        <v>3227</v>
      </c>
      <c r="H60" s="7">
        <f t="shared" si="0"/>
        <v>1</v>
      </c>
    </row>
    <row r="61" spans="1:8" ht="25" customHeight="1" x14ac:dyDescent="0.35">
      <c r="A61" s="7" t="s">
        <v>3230</v>
      </c>
      <c r="B61" s="7" t="s">
        <v>3231</v>
      </c>
      <c r="C61" s="7" t="s">
        <v>4</v>
      </c>
      <c r="D61" s="7">
        <v>12</v>
      </c>
      <c r="E61" s="7" t="s">
        <v>5</v>
      </c>
      <c r="F61" s="7" t="s">
        <v>3226</v>
      </c>
      <c r="G61" s="7" t="s">
        <v>3227</v>
      </c>
      <c r="H61" s="7">
        <f t="shared" si="0"/>
        <v>1</v>
      </c>
    </row>
    <row r="62" spans="1:8" ht="25" customHeight="1" x14ac:dyDescent="0.35">
      <c r="A62" s="7" t="s">
        <v>3232</v>
      </c>
      <c r="B62" s="7" t="s">
        <v>3233</v>
      </c>
      <c r="C62" s="7" t="s">
        <v>4</v>
      </c>
      <c r="D62" s="7">
        <v>12</v>
      </c>
      <c r="E62" s="7" t="s">
        <v>5</v>
      </c>
      <c r="F62" s="7" t="s">
        <v>3226</v>
      </c>
      <c r="G62" s="7" t="s">
        <v>3227</v>
      </c>
      <c r="H62" s="7">
        <f t="shared" si="0"/>
        <v>1</v>
      </c>
    </row>
    <row r="63" spans="1:8" ht="25" customHeight="1" x14ac:dyDescent="0.35">
      <c r="A63" s="7" t="s">
        <v>3234</v>
      </c>
      <c r="B63" s="7" t="s">
        <v>3235</v>
      </c>
      <c r="C63" s="7" t="s">
        <v>4</v>
      </c>
      <c r="D63" s="7">
        <v>12</v>
      </c>
      <c r="E63" s="7" t="s">
        <v>5</v>
      </c>
      <c r="F63" s="7" t="s">
        <v>3226</v>
      </c>
      <c r="G63" s="7" t="s">
        <v>3227</v>
      </c>
      <c r="H63" s="7">
        <f t="shared" si="0"/>
        <v>1</v>
      </c>
    </row>
    <row r="64" spans="1:8" ht="25" customHeight="1" x14ac:dyDescent="0.35">
      <c r="A64" s="7" t="s">
        <v>3236</v>
      </c>
      <c r="B64" s="7" t="s">
        <v>3237</v>
      </c>
      <c r="C64" s="7" t="s">
        <v>4</v>
      </c>
      <c r="D64" s="7">
        <v>12</v>
      </c>
      <c r="E64" s="7" t="s">
        <v>5</v>
      </c>
      <c r="F64" s="7" t="s">
        <v>3226</v>
      </c>
      <c r="G64" s="7" t="s">
        <v>3227</v>
      </c>
      <c r="H64" s="7">
        <f t="shared" si="0"/>
        <v>1</v>
      </c>
    </row>
    <row r="65" spans="1:8" ht="25" customHeight="1" x14ac:dyDescent="0.35">
      <c r="A65" s="7" t="s">
        <v>3238</v>
      </c>
      <c r="B65" s="7" t="s">
        <v>3239</v>
      </c>
      <c r="C65" s="7" t="s">
        <v>4</v>
      </c>
      <c r="D65" s="7">
        <v>12</v>
      </c>
      <c r="E65" s="7" t="s">
        <v>5</v>
      </c>
      <c r="F65" s="7" t="s">
        <v>3226</v>
      </c>
      <c r="G65" s="7" t="s">
        <v>3227</v>
      </c>
      <c r="H65" s="7">
        <f t="shared" si="0"/>
        <v>1</v>
      </c>
    </row>
    <row r="66" spans="1:8" ht="25" customHeight="1" x14ac:dyDescent="0.35">
      <c r="A66" s="7" t="s">
        <v>3240</v>
      </c>
      <c r="B66" s="7" t="s">
        <v>3241</v>
      </c>
      <c r="C66" s="7" t="s">
        <v>4</v>
      </c>
      <c r="D66" s="7">
        <v>12</v>
      </c>
      <c r="E66" s="7" t="s">
        <v>5</v>
      </c>
      <c r="F66" s="7" t="s">
        <v>3242</v>
      </c>
      <c r="G66" s="7" t="s">
        <v>3243</v>
      </c>
      <c r="H66" s="7">
        <f t="shared" si="0"/>
        <v>1</v>
      </c>
    </row>
    <row r="67" spans="1:8" ht="25" customHeight="1" x14ac:dyDescent="0.35">
      <c r="A67" s="7" t="s">
        <v>1079</v>
      </c>
      <c r="B67" s="7" t="s">
        <v>1080</v>
      </c>
      <c r="C67" s="7" t="s">
        <v>53</v>
      </c>
      <c r="D67" s="7">
        <v>12</v>
      </c>
      <c r="E67" s="7" t="s">
        <v>5</v>
      </c>
      <c r="F67" s="7" t="s">
        <v>3244</v>
      </c>
      <c r="G67" s="7" t="s">
        <v>3245</v>
      </c>
      <c r="H67" s="7">
        <f t="shared" ref="H67:H102" si="1">D67/12</f>
        <v>1</v>
      </c>
    </row>
    <row r="68" spans="1:8" ht="25" customHeight="1" x14ac:dyDescent="0.35">
      <c r="A68" s="7" t="s">
        <v>1081</v>
      </c>
      <c r="B68" s="7" t="s">
        <v>1082</v>
      </c>
      <c r="C68" s="7" t="s">
        <v>53</v>
      </c>
      <c r="D68" s="7">
        <v>12</v>
      </c>
      <c r="E68" s="7" t="s">
        <v>5</v>
      </c>
      <c r="F68" s="7" t="s">
        <v>3244</v>
      </c>
      <c r="G68" s="7" t="s">
        <v>3245</v>
      </c>
      <c r="H68" s="7">
        <f t="shared" si="1"/>
        <v>1</v>
      </c>
    </row>
    <row r="69" spans="1:8" ht="25" customHeight="1" x14ac:dyDescent="0.35">
      <c r="A69" s="7" t="s">
        <v>2931</v>
      </c>
      <c r="B69" s="7" t="s">
        <v>2932</v>
      </c>
      <c r="C69" s="7" t="s">
        <v>53</v>
      </c>
      <c r="D69" s="7">
        <v>12</v>
      </c>
      <c r="E69" s="7" t="s">
        <v>5</v>
      </c>
      <c r="F69" s="7" t="s">
        <v>3244</v>
      </c>
      <c r="G69" s="7" t="s">
        <v>3245</v>
      </c>
      <c r="H69" s="7">
        <f t="shared" si="1"/>
        <v>1</v>
      </c>
    </row>
    <row r="70" spans="1:8" ht="25" customHeight="1" x14ac:dyDescent="0.35">
      <c r="A70" s="7" t="s">
        <v>2931</v>
      </c>
      <c r="B70" s="7" t="s">
        <v>2932</v>
      </c>
      <c r="C70" s="7" t="s">
        <v>53</v>
      </c>
      <c r="D70" s="7">
        <v>12</v>
      </c>
      <c r="E70" s="7" t="s">
        <v>5</v>
      </c>
      <c r="F70" s="7" t="s">
        <v>3244</v>
      </c>
      <c r="G70" s="7" t="s">
        <v>3245</v>
      </c>
      <c r="H70" s="7">
        <f t="shared" si="1"/>
        <v>1</v>
      </c>
    </row>
    <row r="71" spans="1:8" ht="25" customHeight="1" x14ac:dyDescent="0.35">
      <c r="A71" s="7" t="s">
        <v>2079</v>
      </c>
      <c r="B71" s="7" t="s">
        <v>2080</v>
      </c>
      <c r="C71" s="7" t="s">
        <v>53</v>
      </c>
      <c r="D71" s="7">
        <v>12</v>
      </c>
      <c r="E71" s="7" t="s">
        <v>5</v>
      </c>
      <c r="F71" s="7" t="s">
        <v>3246</v>
      </c>
      <c r="G71" s="7" t="s">
        <v>3247</v>
      </c>
      <c r="H71" s="7">
        <f t="shared" si="1"/>
        <v>1</v>
      </c>
    </row>
    <row r="72" spans="1:8" ht="25" customHeight="1" x14ac:dyDescent="0.35">
      <c r="A72" s="7" t="s">
        <v>1271</v>
      </c>
      <c r="B72" s="7" t="s">
        <v>1272</v>
      </c>
      <c r="C72" s="7" t="s">
        <v>53</v>
      </c>
      <c r="D72" s="7">
        <v>12</v>
      </c>
      <c r="E72" s="7" t="s">
        <v>5</v>
      </c>
      <c r="F72" s="7" t="s">
        <v>3246</v>
      </c>
      <c r="G72" s="7" t="s">
        <v>3247</v>
      </c>
      <c r="H72" s="7">
        <f t="shared" si="1"/>
        <v>1</v>
      </c>
    </row>
    <row r="73" spans="1:8" ht="25" customHeight="1" x14ac:dyDescent="0.35">
      <c r="A73" s="7" t="s">
        <v>3248</v>
      </c>
      <c r="B73" s="7" t="s">
        <v>3249</v>
      </c>
      <c r="C73" s="7" t="s">
        <v>4</v>
      </c>
      <c r="D73" s="7">
        <v>12</v>
      </c>
      <c r="E73" s="7" t="s">
        <v>5</v>
      </c>
      <c r="F73" s="7" t="s">
        <v>3250</v>
      </c>
      <c r="G73" s="7" t="s">
        <v>3251</v>
      </c>
      <c r="H73" s="7">
        <f t="shared" si="1"/>
        <v>1</v>
      </c>
    </row>
    <row r="74" spans="1:8" ht="25" customHeight="1" x14ac:dyDescent="0.35">
      <c r="A74" s="7" t="s">
        <v>3252</v>
      </c>
      <c r="B74" s="7" t="s">
        <v>3253</v>
      </c>
      <c r="C74" s="7" t="s">
        <v>4</v>
      </c>
      <c r="D74" s="7">
        <v>12</v>
      </c>
      <c r="E74" s="7" t="s">
        <v>5</v>
      </c>
      <c r="F74" s="7" t="s">
        <v>3254</v>
      </c>
      <c r="G74" s="7" t="s">
        <v>3255</v>
      </c>
      <c r="H74" s="7">
        <f t="shared" si="1"/>
        <v>1</v>
      </c>
    </row>
    <row r="75" spans="1:8" ht="25" customHeight="1" x14ac:dyDescent="0.35">
      <c r="A75" s="7" t="s">
        <v>2401</v>
      </c>
      <c r="B75" s="7" t="s">
        <v>2402</v>
      </c>
      <c r="C75" s="7" t="s">
        <v>4</v>
      </c>
      <c r="D75" s="7">
        <v>12</v>
      </c>
      <c r="E75" s="7" t="s">
        <v>5</v>
      </c>
      <c r="F75" s="7" t="s">
        <v>3256</v>
      </c>
      <c r="G75" s="7" t="s">
        <v>3257</v>
      </c>
      <c r="H75" s="7">
        <f t="shared" si="1"/>
        <v>1</v>
      </c>
    </row>
    <row r="76" spans="1:8" ht="25" customHeight="1" x14ac:dyDescent="0.35">
      <c r="A76" s="7" t="s">
        <v>3252</v>
      </c>
      <c r="B76" s="7" t="s">
        <v>3253</v>
      </c>
      <c r="C76" s="7" t="s">
        <v>4</v>
      </c>
      <c r="D76" s="7">
        <v>12</v>
      </c>
      <c r="E76" s="7" t="s">
        <v>5</v>
      </c>
      <c r="F76" s="7" t="s">
        <v>3254</v>
      </c>
      <c r="G76" s="7" t="s">
        <v>3255</v>
      </c>
      <c r="H76" s="7">
        <f t="shared" si="1"/>
        <v>1</v>
      </c>
    </row>
    <row r="77" spans="1:8" ht="25" customHeight="1" x14ac:dyDescent="0.35">
      <c r="A77" s="7" t="s">
        <v>3258</v>
      </c>
      <c r="B77" s="7" t="s">
        <v>3259</v>
      </c>
      <c r="C77" s="7" t="s">
        <v>4</v>
      </c>
      <c r="D77" s="7">
        <v>12</v>
      </c>
      <c r="E77" s="7" t="s">
        <v>5</v>
      </c>
      <c r="F77" s="7" t="s">
        <v>3260</v>
      </c>
      <c r="G77" s="7" t="s">
        <v>3261</v>
      </c>
      <c r="H77" s="7">
        <f t="shared" si="1"/>
        <v>1</v>
      </c>
    </row>
    <row r="78" spans="1:8" ht="25" customHeight="1" x14ac:dyDescent="0.35">
      <c r="A78" s="7" t="s">
        <v>2401</v>
      </c>
      <c r="B78" s="7" t="s">
        <v>2402</v>
      </c>
      <c r="C78" s="7" t="s">
        <v>4</v>
      </c>
      <c r="D78" s="7">
        <v>12</v>
      </c>
      <c r="E78" s="7" t="s">
        <v>5</v>
      </c>
      <c r="F78" s="7" t="s">
        <v>3256</v>
      </c>
      <c r="G78" s="7" t="s">
        <v>3257</v>
      </c>
      <c r="H78" s="7">
        <f t="shared" si="1"/>
        <v>1</v>
      </c>
    </row>
    <row r="79" spans="1:8" ht="25" customHeight="1" x14ac:dyDescent="0.35">
      <c r="A79" s="7" t="s">
        <v>2482</v>
      </c>
      <c r="B79" s="7" t="s">
        <v>2483</v>
      </c>
      <c r="C79" s="7" t="s">
        <v>4</v>
      </c>
      <c r="D79" s="7">
        <v>12</v>
      </c>
      <c r="E79" s="7" t="s">
        <v>5</v>
      </c>
      <c r="F79" s="7" t="s">
        <v>3262</v>
      </c>
      <c r="G79" s="7" t="s">
        <v>3263</v>
      </c>
      <c r="H79" s="7">
        <f t="shared" si="1"/>
        <v>1</v>
      </c>
    </row>
    <row r="80" spans="1:8" ht="25" customHeight="1" x14ac:dyDescent="0.35">
      <c r="A80" s="7" t="s">
        <v>2486</v>
      </c>
      <c r="B80" s="7" t="s">
        <v>2487</v>
      </c>
      <c r="C80" s="7" t="s">
        <v>4</v>
      </c>
      <c r="D80" s="7">
        <v>12</v>
      </c>
      <c r="E80" s="7" t="s">
        <v>5</v>
      </c>
      <c r="F80" s="7" t="s">
        <v>3264</v>
      </c>
      <c r="G80" s="7" t="s">
        <v>3265</v>
      </c>
      <c r="H80" s="7">
        <f t="shared" si="1"/>
        <v>1</v>
      </c>
    </row>
    <row r="81" spans="1:8" ht="25" customHeight="1" x14ac:dyDescent="0.35">
      <c r="A81" s="7" t="s">
        <v>2490</v>
      </c>
      <c r="B81" s="7" t="s">
        <v>2491</v>
      </c>
      <c r="C81" s="7" t="s">
        <v>4</v>
      </c>
      <c r="D81" s="7">
        <v>12</v>
      </c>
      <c r="E81" s="7" t="s">
        <v>5</v>
      </c>
      <c r="F81" s="7" t="s">
        <v>3264</v>
      </c>
      <c r="G81" s="7" t="s">
        <v>3265</v>
      </c>
      <c r="H81" s="7">
        <f t="shared" si="1"/>
        <v>1</v>
      </c>
    </row>
    <row r="82" spans="1:8" ht="25" customHeight="1" x14ac:dyDescent="0.35">
      <c r="A82" s="7" t="s">
        <v>3266</v>
      </c>
      <c r="B82" s="7" t="s">
        <v>3267</v>
      </c>
      <c r="C82" s="7" t="s">
        <v>4</v>
      </c>
      <c r="D82" s="7">
        <v>12</v>
      </c>
      <c r="E82" s="7" t="s">
        <v>5</v>
      </c>
      <c r="F82" s="7" t="s">
        <v>3268</v>
      </c>
      <c r="G82" s="7" t="s">
        <v>3269</v>
      </c>
      <c r="H82" s="7">
        <f t="shared" si="1"/>
        <v>1</v>
      </c>
    </row>
    <row r="83" spans="1:8" ht="25" customHeight="1" x14ac:dyDescent="0.35">
      <c r="A83" s="7" t="s">
        <v>637</v>
      </c>
      <c r="B83" s="7" t="s">
        <v>638</v>
      </c>
      <c r="C83" s="7" t="s">
        <v>4</v>
      </c>
      <c r="D83" s="7">
        <v>24</v>
      </c>
      <c r="E83" s="7" t="s">
        <v>5</v>
      </c>
      <c r="F83" s="7" t="s">
        <v>3270</v>
      </c>
      <c r="G83" s="7" t="s">
        <v>3271</v>
      </c>
      <c r="H83" s="7">
        <f t="shared" si="1"/>
        <v>2</v>
      </c>
    </row>
    <row r="84" spans="1:8" ht="25" customHeight="1" x14ac:dyDescent="0.35">
      <c r="A84" s="7" t="s">
        <v>3272</v>
      </c>
      <c r="B84" s="7" t="s">
        <v>3273</v>
      </c>
      <c r="C84" s="7" t="s">
        <v>4</v>
      </c>
      <c r="D84" s="7">
        <v>12</v>
      </c>
      <c r="E84" s="7" t="s">
        <v>5</v>
      </c>
      <c r="F84" s="7" t="s">
        <v>3274</v>
      </c>
      <c r="G84" s="7" t="s">
        <v>3275</v>
      </c>
      <c r="H84" s="7">
        <f t="shared" si="1"/>
        <v>1</v>
      </c>
    </row>
    <row r="85" spans="1:8" ht="25" customHeight="1" x14ac:dyDescent="0.35">
      <c r="A85" s="7" t="s">
        <v>2405</v>
      </c>
      <c r="B85" s="7" t="s">
        <v>2406</v>
      </c>
      <c r="C85" s="7" t="s">
        <v>4</v>
      </c>
      <c r="D85" s="7">
        <v>12</v>
      </c>
      <c r="E85" s="7" t="s">
        <v>5</v>
      </c>
      <c r="F85" s="7" t="s">
        <v>3276</v>
      </c>
      <c r="G85" s="7" t="s">
        <v>3277</v>
      </c>
      <c r="H85" s="7">
        <f t="shared" si="1"/>
        <v>1</v>
      </c>
    </row>
    <row r="86" spans="1:8" ht="25" customHeight="1" x14ac:dyDescent="0.35">
      <c r="A86" s="7" t="s">
        <v>3278</v>
      </c>
      <c r="B86" s="7" t="s">
        <v>3279</v>
      </c>
      <c r="C86" s="7" t="s">
        <v>4</v>
      </c>
      <c r="D86" s="7">
        <v>12</v>
      </c>
      <c r="E86" s="7" t="s">
        <v>5</v>
      </c>
      <c r="F86" s="7" t="s">
        <v>3276</v>
      </c>
      <c r="G86" s="7" t="s">
        <v>3277</v>
      </c>
      <c r="H86" s="7">
        <f t="shared" si="1"/>
        <v>1</v>
      </c>
    </row>
    <row r="87" spans="1:8" ht="25" customHeight="1" x14ac:dyDescent="0.35">
      <c r="A87" s="7" t="s">
        <v>3280</v>
      </c>
      <c r="B87" s="7" t="s">
        <v>3281</v>
      </c>
      <c r="C87" s="7" t="s">
        <v>4</v>
      </c>
      <c r="D87" s="7">
        <v>12</v>
      </c>
      <c r="E87" s="7" t="s">
        <v>5</v>
      </c>
      <c r="F87" s="7" t="s">
        <v>3276</v>
      </c>
      <c r="G87" s="7" t="s">
        <v>3277</v>
      </c>
      <c r="H87" s="7">
        <f t="shared" si="1"/>
        <v>1</v>
      </c>
    </row>
    <row r="88" spans="1:8" ht="25" customHeight="1" x14ac:dyDescent="0.35">
      <c r="A88" s="7" t="s">
        <v>2409</v>
      </c>
      <c r="B88" s="7" t="s">
        <v>2410</v>
      </c>
      <c r="C88" s="7" t="s">
        <v>4</v>
      </c>
      <c r="D88" s="7">
        <v>12</v>
      </c>
      <c r="E88" s="7" t="s">
        <v>5</v>
      </c>
      <c r="F88" s="7" t="s">
        <v>3276</v>
      </c>
      <c r="G88" s="7" t="s">
        <v>3277</v>
      </c>
      <c r="H88" s="7">
        <f t="shared" si="1"/>
        <v>1</v>
      </c>
    </row>
    <row r="89" spans="1:8" ht="25" customHeight="1" x14ac:dyDescent="0.35">
      <c r="A89" s="7" t="s">
        <v>2411</v>
      </c>
      <c r="B89" s="7" t="s">
        <v>2412</v>
      </c>
      <c r="C89" s="7" t="s">
        <v>4</v>
      </c>
      <c r="D89" s="7">
        <v>12</v>
      </c>
      <c r="E89" s="7" t="s">
        <v>5</v>
      </c>
      <c r="F89" s="7" t="s">
        <v>3276</v>
      </c>
      <c r="G89" s="7" t="s">
        <v>3277</v>
      </c>
      <c r="H89" s="7">
        <f t="shared" si="1"/>
        <v>1</v>
      </c>
    </row>
    <row r="90" spans="1:8" ht="25" customHeight="1" x14ac:dyDescent="0.35">
      <c r="A90" s="7" t="s">
        <v>2413</v>
      </c>
      <c r="B90" s="7" t="s">
        <v>2414</v>
      </c>
      <c r="C90" s="7" t="s">
        <v>4</v>
      </c>
      <c r="D90" s="7">
        <v>12</v>
      </c>
      <c r="E90" s="7" t="s">
        <v>5</v>
      </c>
      <c r="F90" s="7" t="s">
        <v>3276</v>
      </c>
      <c r="G90" s="7" t="s">
        <v>3277</v>
      </c>
      <c r="H90" s="7">
        <f t="shared" si="1"/>
        <v>1</v>
      </c>
    </row>
    <row r="91" spans="1:8" ht="25" customHeight="1" x14ac:dyDescent="0.35">
      <c r="A91" s="7" t="s">
        <v>3282</v>
      </c>
      <c r="B91" s="7" t="s">
        <v>3283</v>
      </c>
      <c r="C91" s="7" t="s">
        <v>4</v>
      </c>
      <c r="D91" s="7">
        <v>12</v>
      </c>
      <c r="E91" s="7" t="s">
        <v>5</v>
      </c>
      <c r="F91" s="7" t="s">
        <v>3284</v>
      </c>
      <c r="G91" s="7" t="s">
        <v>3285</v>
      </c>
      <c r="H91" s="7">
        <f t="shared" si="1"/>
        <v>1</v>
      </c>
    </row>
    <row r="92" spans="1:8" ht="25" customHeight="1" x14ac:dyDescent="0.35">
      <c r="A92" s="7" t="s">
        <v>2415</v>
      </c>
      <c r="B92" s="7" t="s">
        <v>2416</v>
      </c>
      <c r="C92" s="7" t="s">
        <v>4</v>
      </c>
      <c r="D92" s="7">
        <v>12</v>
      </c>
      <c r="E92" s="7" t="s">
        <v>5</v>
      </c>
      <c r="F92" s="7" t="s">
        <v>3284</v>
      </c>
      <c r="G92" s="7" t="s">
        <v>3285</v>
      </c>
      <c r="H92" s="7">
        <f t="shared" si="1"/>
        <v>1</v>
      </c>
    </row>
    <row r="93" spans="1:8" ht="25" customHeight="1" x14ac:dyDescent="0.35">
      <c r="A93" s="7" t="s">
        <v>3286</v>
      </c>
      <c r="B93" s="7" t="s">
        <v>3287</v>
      </c>
      <c r="C93" s="7" t="s">
        <v>4</v>
      </c>
      <c r="D93" s="7">
        <v>12</v>
      </c>
      <c r="E93" s="7" t="s">
        <v>5</v>
      </c>
      <c r="F93" s="7" t="s">
        <v>3284</v>
      </c>
      <c r="G93" s="7" t="s">
        <v>3285</v>
      </c>
      <c r="H93" s="7">
        <f t="shared" si="1"/>
        <v>1</v>
      </c>
    </row>
    <row r="94" spans="1:8" ht="25" customHeight="1" x14ac:dyDescent="0.35">
      <c r="A94" s="7" t="s">
        <v>2419</v>
      </c>
      <c r="B94" s="7" t="s">
        <v>2420</v>
      </c>
      <c r="C94" s="7" t="s">
        <v>4</v>
      </c>
      <c r="D94" s="7">
        <v>12</v>
      </c>
      <c r="E94" s="7" t="s">
        <v>5</v>
      </c>
      <c r="F94" s="7" t="s">
        <v>3284</v>
      </c>
      <c r="G94" s="7" t="s">
        <v>3285</v>
      </c>
      <c r="H94" s="7">
        <f t="shared" si="1"/>
        <v>1</v>
      </c>
    </row>
    <row r="95" spans="1:8" ht="25" customHeight="1" x14ac:dyDescent="0.35">
      <c r="A95" s="7" t="s">
        <v>2425</v>
      </c>
      <c r="B95" s="7" t="s">
        <v>2426</v>
      </c>
      <c r="C95" s="7" t="s">
        <v>4</v>
      </c>
      <c r="D95" s="7">
        <v>12</v>
      </c>
      <c r="E95" s="7" t="s">
        <v>5</v>
      </c>
      <c r="F95" s="7" t="s">
        <v>3284</v>
      </c>
      <c r="G95" s="7" t="s">
        <v>3285</v>
      </c>
      <c r="H95" s="7">
        <f t="shared" si="1"/>
        <v>1</v>
      </c>
    </row>
    <row r="96" spans="1:8" ht="25" customHeight="1" x14ac:dyDescent="0.35">
      <c r="A96" s="7" t="s">
        <v>2427</v>
      </c>
      <c r="B96" s="7" t="s">
        <v>2428</v>
      </c>
      <c r="C96" s="7" t="s">
        <v>4</v>
      </c>
      <c r="D96" s="7">
        <v>12</v>
      </c>
      <c r="E96" s="7" t="s">
        <v>5</v>
      </c>
      <c r="F96" s="7" t="s">
        <v>3284</v>
      </c>
      <c r="G96" s="7" t="s">
        <v>3285</v>
      </c>
      <c r="H96" s="7">
        <f t="shared" si="1"/>
        <v>1</v>
      </c>
    </row>
    <row r="97" spans="1:8" ht="25" customHeight="1" x14ac:dyDescent="0.35">
      <c r="A97" s="7" t="s">
        <v>3288</v>
      </c>
      <c r="B97" s="7" t="s">
        <v>3289</v>
      </c>
      <c r="C97" s="7" t="s">
        <v>4</v>
      </c>
      <c r="D97" s="7">
        <v>12</v>
      </c>
      <c r="E97" s="7" t="s">
        <v>5</v>
      </c>
      <c r="F97" s="7" t="s">
        <v>3284</v>
      </c>
      <c r="G97" s="7" t="s">
        <v>3285</v>
      </c>
      <c r="H97" s="7">
        <f t="shared" si="1"/>
        <v>1</v>
      </c>
    </row>
    <row r="98" spans="1:8" ht="25" customHeight="1" x14ac:dyDescent="0.35">
      <c r="A98" s="7" t="s">
        <v>3290</v>
      </c>
      <c r="B98" s="7" t="s">
        <v>3291</v>
      </c>
      <c r="C98" s="7" t="s">
        <v>4</v>
      </c>
      <c r="D98" s="7">
        <v>12</v>
      </c>
      <c r="E98" s="7" t="s">
        <v>5</v>
      </c>
      <c r="F98" s="7" t="s">
        <v>3284</v>
      </c>
      <c r="G98" s="7" t="s">
        <v>3285</v>
      </c>
      <c r="H98" s="7">
        <f t="shared" si="1"/>
        <v>1</v>
      </c>
    </row>
    <row r="99" spans="1:8" ht="25" customHeight="1" x14ac:dyDescent="0.35">
      <c r="A99" s="7" t="s">
        <v>3292</v>
      </c>
      <c r="B99" s="7" t="s">
        <v>3293</v>
      </c>
      <c r="C99" s="7" t="s">
        <v>4</v>
      </c>
      <c r="D99" s="7">
        <v>12</v>
      </c>
      <c r="E99" s="7" t="s">
        <v>5</v>
      </c>
      <c r="F99" s="7" t="s">
        <v>3284</v>
      </c>
      <c r="G99" s="7" t="s">
        <v>3285</v>
      </c>
      <c r="H99" s="7">
        <f t="shared" si="1"/>
        <v>1</v>
      </c>
    </row>
    <row r="100" spans="1:8" ht="25" customHeight="1" x14ac:dyDescent="0.35">
      <c r="A100" s="7" t="s">
        <v>3294</v>
      </c>
      <c r="B100" s="7" t="s">
        <v>3295</v>
      </c>
      <c r="C100" s="7" t="s">
        <v>4</v>
      </c>
      <c r="D100" s="7">
        <v>12</v>
      </c>
      <c r="E100" s="7" t="s">
        <v>5</v>
      </c>
      <c r="F100" s="7" t="s">
        <v>3284</v>
      </c>
      <c r="G100" s="7" t="s">
        <v>3285</v>
      </c>
      <c r="H100" s="7">
        <f t="shared" si="1"/>
        <v>1</v>
      </c>
    </row>
    <row r="101" spans="1:8" ht="25" customHeight="1" x14ac:dyDescent="0.35">
      <c r="A101" s="7" t="s">
        <v>264</v>
      </c>
      <c r="B101" s="7" t="s">
        <v>265</v>
      </c>
      <c r="C101" s="7" t="s">
        <v>4</v>
      </c>
      <c r="D101" s="7">
        <v>12</v>
      </c>
      <c r="E101" s="7" t="s">
        <v>5</v>
      </c>
      <c r="F101" s="7" t="s">
        <v>3296</v>
      </c>
      <c r="G101" s="7" t="s">
        <v>3297</v>
      </c>
      <c r="H101" s="7">
        <f t="shared" si="1"/>
        <v>1</v>
      </c>
    </row>
    <row r="102" spans="1:8" ht="25" customHeight="1" x14ac:dyDescent="0.35">
      <c r="A102" s="7" t="s">
        <v>268</v>
      </c>
      <c r="B102" s="7" t="s">
        <v>269</v>
      </c>
      <c r="C102" s="7" t="s">
        <v>4</v>
      </c>
      <c r="D102" s="7">
        <v>12</v>
      </c>
      <c r="E102" s="7" t="s">
        <v>5</v>
      </c>
      <c r="F102" s="7" t="s">
        <v>3298</v>
      </c>
      <c r="G102" s="7" t="s">
        <v>3299</v>
      </c>
      <c r="H102" s="7">
        <f t="shared" si="1"/>
        <v>1</v>
      </c>
    </row>
    <row r="103" spans="1:8" x14ac:dyDescent="0.35">
      <c r="G103" s="2" t="s">
        <v>3496</v>
      </c>
      <c r="H103" s="2">
        <f>SUM(H2:H102)</f>
        <v>162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>
    <oddFooter>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A89-D164-4F8F-B319-05EEBA743855}">
  <dimension ref="A1:H76"/>
  <sheetViews>
    <sheetView view="pageBreakPreview" zoomScale="85" zoomScaleNormal="85" zoomScaleSheetLayoutView="85" workbookViewId="0">
      <selection activeCell="B10" sqref="B10"/>
    </sheetView>
  </sheetViews>
  <sheetFormatPr defaultColWidth="36.54296875" defaultRowHeight="16" x14ac:dyDescent="0.35"/>
  <cols>
    <col min="1" max="1" width="20.1796875" style="1" customWidth="1"/>
    <col min="2" max="2" width="48.08984375" style="1" customWidth="1"/>
    <col min="3" max="3" width="6.36328125" style="1" customWidth="1"/>
    <col min="4" max="4" width="4.453125" style="1" bestFit="1" customWidth="1"/>
    <col min="5" max="5" width="6.7265625" style="1" customWidth="1"/>
    <col min="6" max="6" width="12.90625" style="1" customWidth="1"/>
    <col min="7" max="7" width="15.7265625" style="1" customWidth="1"/>
    <col min="8" max="8" width="7.90625" style="1" bestFit="1" customWidth="1"/>
    <col min="9" max="16384" width="36.54296875" style="1"/>
  </cols>
  <sheetData>
    <row r="1" spans="1:8" ht="25" customHeight="1" x14ac:dyDescent="0.35">
      <c r="A1" s="5" t="s">
        <v>3483</v>
      </c>
      <c r="B1" s="6" t="s">
        <v>3300</v>
      </c>
      <c r="C1" s="6" t="s">
        <v>3480</v>
      </c>
      <c r="D1" s="5" t="s">
        <v>3488</v>
      </c>
      <c r="E1" s="6" t="s">
        <v>3484</v>
      </c>
      <c r="F1" s="6" t="s">
        <v>3481</v>
      </c>
      <c r="G1" s="6" t="s">
        <v>3482</v>
      </c>
      <c r="H1" s="6" t="s">
        <v>3495</v>
      </c>
    </row>
    <row r="2" spans="1:8" ht="25" customHeight="1" x14ac:dyDescent="0.35">
      <c r="A2" s="7" t="s">
        <v>3301</v>
      </c>
      <c r="B2" s="7" t="s">
        <v>3302</v>
      </c>
      <c r="C2" s="7" t="s">
        <v>53</v>
      </c>
      <c r="D2" s="7">
        <v>2</v>
      </c>
      <c r="E2" s="7" t="s">
        <v>5</v>
      </c>
      <c r="F2" s="7" t="s">
        <v>3303</v>
      </c>
      <c r="G2" s="7" t="s">
        <v>3304</v>
      </c>
      <c r="H2" s="7">
        <f>D2/1</f>
        <v>2</v>
      </c>
    </row>
    <row r="3" spans="1:8" x14ac:dyDescent="0.35">
      <c r="A3" s="7" t="s">
        <v>665</v>
      </c>
      <c r="B3" s="7" t="s">
        <v>666</v>
      </c>
      <c r="C3" s="7" t="s">
        <v>53</v>
      </c>
      <c r="D3" s="7">
        <v>6</v>
      </c>
      <c r="E3" s="7" t="s">
        <v>5</v>
      </c>
      <c r="F3" s="7" t="s">
        <v>3305</v>
      </c>
      <c r="G3" s="7" t="s">
        <v>3306</v>
      </c>
      <c r="H3" s="7">
        <f t="shared" ref="H3:H66" si="0">D3/1</f>
        <v>6</v>
      </c>
    </row>
    <row r="4" spans="1:8" ht="25" customHeight="1" x14ac:dyDescent="0.35">
      <c r="A4" s="7" t="s">
        <v>3307</v>
      </c>
      <c r="B4" s="7" t="s">
        <v>3308</v>
      </c>
      <c r="C4" s="7" t="s">
        <v>53</v>
      </c>
      <c r="D4" s="7">
        <v>6</v>
      </c>
      <c r="E4" s="7" t="s">
        <v>5</v>
      </c>
      <c r="F4" s="7" t="s">
        <v>3309</v>
      </c>
      <c r="G4" s="7" t="s">
        <v>3310</v>
      </c>
      <c r="H4" s="7">
        <f t="shared" si="0"/>
        <v>6</v>
      </c>
    </row>
    <row r="5" spans="1:8" ht="25" customHeight="1" x14ac:dyDescent="0.35">
      <c r="A5" s="7" t="s">
        <v>539</v>
      </c>
      <c r="B5" s="7" t="s">
        <v>540</v>
      </c>
      <c r="C5" s="7" t="s">
        <v>4</v>
      </c>
      <c r="D5" s="7">
        <v>2</v>
      </c>
      <c r="E5" s="7" t="s">
        <v>5</v>
      </c>
      <c r="F5" s="7" t="s">
        <v>3311</v>
      </c>
      <c r="G5" s="7" t="s">
        <v>3312</v>
      </c>
      <c r="H5" s="7">
        <f t="shared" si="0"/>
        <v>2</v>
      </c>
    </row>
    <row r="6" spans="1:8" ht="25" customHeight="1" x14ac:dyDescent="0.35">
      <c r="A6" s="7" t="s">
        <v>47</v>
      </c>
      <c r="B6" s="7" t="s">
        <v>48</v>
      </c>
      <c r="C6" s="7" t="s">
        <v>4</v>
      </c>
      <c r="D6" s="7">
        <v>1</v>
      </c>
      <c r="E6" s="7" t="s">
        <v>5</v>
      </c>
      <c r="F6" s="7" t="s">
        <v>3311</v>
      </c>
      <c r="G6" s="7" t="s">
        <v>3311</v>
      </c>
      <c r="H6" s="7">
        <f t="shared" si="0"/>
        <v>1</v>
      </c>
    </row>
    <row r="7" spans="1:8" ht="25" customHeight="1" x14ac:dyDescent="0.35">
      <c r="A7" s="7" t="s">
        <v>3313</v>
      </c>
      <c r="B7" s="7" t="s">
        <v>3314</v>
      </c>
      <c r="C7" s="7" t="s">
        <v>4</v>
      </c>
      <c r="D7" s="7">
        <v>1</v>
      </c>
      <c r="E7" s="7" t="s">
        <v>5</v>
      </c>
      <c r="F7" s="7" t="s">
        <v>3315</v>
      </c>
      <c r="G7" s="7" t="s">
        <v>3315</v>
      </c>
      <c r="H7" s="7">
        <f t="shared" si="0"/>
        <v>1</v>
      </c>
    </row>
    <row r="8" spans="1:8" ht="25" customHeight="1" x14ac:dyDescent="0.35">
      <c r="A8" s="7" t="s">
        <v>908</v>
      </c>
      <c r="B8" s="7" t="s">
        <v>909</v>
      </c>
      <c r="C8" s="7" t="s">
        <v>4</v>
      </c>
      <c r="D8" s="7">
        <v>1</v>
      </c>
      <c r="E8" s="7" t="s">
        <v>5</v>
      </c>
      <c r="F8" s="7" t="s">
        <v>3316</v>
      </c>
      <c r="G8" s="7" t="s">
        <v>3316</v>
      </c>
      <c r="H8" s="7">
        <f t="shared" si="0"/>
        <v>1</v>
      </c>
    </row>
    <row r="9" spans="1:8" ht="25" customHeight="1" x14ac:dyDescent="0.35">
      <c r="A9" s="7" t="s">
        <v>177</v>
      </c>
      <c r="B9" s="7" t="s">
        <v>178</v>
      </c>
      <c r="C9" s="7" t="s">
        <v>4</v>
      </c>
      <c r="D9" s="7">
        <v>1</v>
      </c>
      <c r="E9" s="7" t="s">
        <v>5</v>
      </c>
      <c r="F9" s="7" t="s">
        <v>3317</v>
      </c>
      <c r="G9" s="7" t="s">
        <v>3317</v>
      </c>
      <c r="H9" s="7">
        <f t="shared" si="0"/>
        <v>1</v>
      </c>
    </row>
    <row r="10" spans="1:8" ht="25" customHeight="1" x14ac:dyDescent="0.35">
      <c r="A10" s="7" t="s">
        <v>904</v>
      </c>
      <c r="B10" s="7" t="s">
        <v>905</v>
      </c>
      <c r="C10" s="7" t="s">
        <v>4</v>
      </c>
      <c r="D10" s="7">
        <v>1</v>
      </c>
      <c r="E10" s="7" t="s">
        <v>5</v>
      </c>
      <c r="F10" s="7" t="s">
        <v>3318</v>
      </c>
      <c r="G10" s="7" t="s">
        <v>3318</v>
      </c>
      <c r="H10" s="7">
        <f t="shared" si="0"/>
        <v>1</v>
      </c>
    </row>
    <row r="11" spans="1:8" ht="25" customHeight="1" x14ac:dyDescent="0.35">
      <c r="A11" s="7" t="s">
        <v>3319</v>
      </c>
      <c r="B11" s="7" t="s">
        <v>3320</v>
      </c>
      <c r="C11" s="7" t="s">
        <v>4</v>
      </c>
      <c r="D11" s="7">
        <v>1</v>
      </c>
      <c r="E11" s="7" t="s">
        <v>5</v>
      </c>
      <c r="F11" s="7" t="s">
        <v>3321</v>
      </c>
      <c r="G11" s="7" t="s">
        <v>3321</v>
      </c>
      <c r="H11" s="7">
        <f t="shared" si="0"/>
        <v>1</v>
      </c>
    </row>
    <row r="12" spans="1:8" ht="25" customHeight="1" x14ac:dyDescent="0.35">
      <c r="A12" s="7" t="s">
        <v>3322</v>
      </c>
      <c r="B12" s="7" t="s">
        <v>3323</v>
      </c>
      <c r="C12" s="7" t="s">
        <v>4</v>
      </c>
      <c r="D12" s="7">
        <v>1</v>
      </c>
      <c r="E12" s="7" t="s">
        <v>5</v>
      </c>
      <c r="F12" s="7" t="s">
        <v>3306</v>
      </c>
      <c r="G12" s="7" t="s">
        <v>3306</v>
      </c>
      <c r="H12" s="7">
        <f t="shared" si="0"/>
        <v>1</v>
      </c>
    </row>
    <row r="13" spans="1:8" ht="25" customHeight="1" x14ac:dyDescent="0.35">
      <c r="A13" s="7" t="s">
        <v>3324</v>
      </c>
      <c r="B13" s="7" t="s">
        <v>3325</v>
      </c>
      <c r="C13" s="7" t="s">
        <v>4</v>
      </c>
      <c r="D13" s="7">
        <v>1</v>
      </c>
      <c r="E13" s="7" t="s">
        <v>5</v>
      </c>
      <c r="F13" s="7" t="s">
        <v>3326</v>
      </c>
      <c r="G13" s="7" t="s">
        <v>3326</v>
      </c>
      <c r="H13" s="7">
        <f t="shared" si="0"/>
        <v>1</v>
      </c>
    </row>
    <row r="14" spans="1:8" ht="25" customHeight="1" x14ac:dyDescent="0.35">
      <c r="A14" s="7" t="s">
        <v>3327</v>
      </c>
      <c r="B14" s="7" t="s">
        <v>3328</v>
      </c>
      <c r="C14" s="7" t="s">
        <v>4</v>
      </c>
      <c r="D14" s="7">
        <v>1</v>
      </c>
      <c r="E14" s="7" t="s">
        <v>5</v>
      </c>
      <c r="F14" s="7" t="s">
        <v>3329</v>
      </c>
      <c r="G14" s="7" t="s">
        <v>3329</v>
      </c>
      <c r="H14" s="7">
        <f t="shared" si="0"/>
        <v>1</v>
      </c>
    </row>
    <row r="15" spans="1:8" ht="25" customHeight="1" x14ac:dyDescent="0.35">
      <c r="A15" s="7" t="s">
        <v>888</v>
      </c>
      <c r="B15" s="7" t="s">
        <v>889</v>
      </c>
      <c r="C15" s="7" t="s">
        <v>4</v>
      </c>
      <c r="D15" s="7">
        <v>1</v>
      </c>
      <c r="E15" s="7" t="s">
        <v>5</v>
      </c>
      <c r="F15" s="7" t="s">
        <v>3330</v>
      </c>
      <c r="G15" s="7" t="s">
        <v>3330</v>
      </c>
      <c r="H15" s="7">
        <f t="shared" si="0"/>
        <v>1</v>
      </c>
    </row>
    <row r="16" spans="1:8" ht="25" customHeight="1" x14ac:dyDescent="0.35">
      <c r="A16" s="7" t="s">
        <v>2837</v>
      </c>
      <c r="B16" s="7" t="s">
        <v>2838</v>
      </c>
      <c r="C16" s="7" t="s">
        <v>53</v>
      </c>
      <c r="D16" s="7">
        <v>1</v>
      </c>
      <c r="E16" s="7" t="s">
        <v>5</v>
      </c>
      <c r="F16" s="7" t="s">
        <v>1351</v>
      </c>
      <c r="G16" s="7" t="s">
        <v>1351</v>
      </c>
      <c r="H16" s="7">
        <f t="shared" si="0"/>
        <v>1</v>
      </c>
    </row>
    <row r="17" spans="1:8" ht="25" customHeight="1" x14ac:dyDescent="0.35">
      <c r="A17" s="7" t="s">
        <v>3331</v>
      </c>
      <c r="B17" s="7" t="s">
        <v>3332</v>
      </c>
      <c r="C17" s="7" t="s">
        <v>53</v>
      </c>
      <c r="D17" s="7">
        <v>2</v>
      </c>
      <c r="E17" s="7" t="s">
        <v>5</v>
      </c>
      <c r="F17" s="7" t="s">
        <v>2037</v>
      </c>
      <c r="G17" s="7" t="s">
        <v>2038</v>
      </c>
      <c r="H17" s="7">
        <f t="shared" si="0"/>
        <v>2</v>
      </c>
    </row>
    <row r="18" spans="1:8" ht="25" customHeight="1" x14ac:dyDescent="0.35">
      <c r="A18" s="7" t="s">
        <v>3333</v>
      </c>
      <c r="B18" s="7" t="s">
        <v>3334</v>
      </c>
      <c r="C18" s="7" t="s">
        <v>53</v>
      </c>
      <c r="D18" s="7">
        <v>2</v>
      </c>
      <c r="E18" s="7" t="s">
        <v>5</v>
      </c>
      <c r="F18" s="7" t="s">
        <v>3335</v>
      </c>
      <c r="G18" s="7" t="s">
        <v>3336</v>
      </c>
      <c r="H18" s="7">
        <f t="shared" si="0"/>
        <v>2</v>
      </c>
    </row>
    <row r="19" spans="1:8" ht="25" customHeight="1" x14ac:dyDescent="0.35">
      <c r="A19" s="7" t="s">
        <v>3337</v>
      </c>
      <c r="B19" s="7" t="s">
        <v>3338</v>
      </c>
      <c r="C19" s="7" t="s">
        <v>4</v>
      </c>
      <c r="D19" s="7">
        <v>2</v>
      </c>
      <c r="E19" s="7" t="s">
        <v>5</v>
      </c>
      <c r="F19" s="7" t="s">
        <v>1614</v>
      </c>
      <c r="G19" s="7" t="s">
        <v>3339</v>
      </c>
      <c r="H19" s="7">
        <f t="shared" si="0"/>
        <v>2</v>
      </c>
    </row>
    <row r="20" spans="1:8" ht="25" customHeight="1" x14ac:dyDescent="0.35">
      <c r="A20" s="7" t="s">
        <v>1409</v>
      </c>
      <c r="B20" s="7" t="s">
        <v>1410</v>
      </c>
      <c r="C20" s="7" t="s">
        <v>4</v>
      </c>
      <c r="D20" s="7">
        <v>2</v>
      </c>
      <c r="E20" s="7" t="s">
        <v>5</v>
      </c>
      <c r="F20" s="7" t="s">
        <v>3340</v>
      </c>
      <c r="G20" s="7" t="s">
        <v>3341</v>
      </c>
      <c r="H20" s="7">
        <f t="shared" si="0"/>
        <v>2</v>
      </c>
    </row>
    <row r="21" spans="1:8" ht="25" customHeight="1" x14ac:dyDescent="0.35">
      <c r="A21" s="7" t="s">
        <v>3342</v>
      </c>
      <c r="B21" s="7" t="s">
        <v>3343</v>
      </c>
      <c r="C21" s="7" t="s">
        <v>4</v>
      </c>
      <c r="D21" s="7">
        <v>2</v>
      </c>
      <c r="E21" s="7" t="s">
        <v>5</v>
      </c>
      <c r="F21" s="7" t="s">
        <v>3344</v>
      </c>
      <c r="G21" s="7" t="s">
        <v>3345</v>
      </c>
      <c r="H21" s="7">
        <f t="shared" si="0"/>
        <v>2</v>
      </c>
    </row>
    <row r="22" spans="1:8" ht="25" customHeight="1" x14ac:dyDescent="0.35">
      <c r="A22" s="7" t="s">
        <v>98</v>
      </c>
      <c r="B22" s="7" t="s">
        <v>99</v>
      </c>
      <c r="C22" s="7" t="s">
        <v>53</v>
      </c>
      <c r="D22" s="7">
        <v>2</v>
      </c>
      <c r="E22" s="7" t="s">
        <v>5</v>
      </c>
      <c r="F22" s="7" t="s">
        <v>3346</v>
      </c>
      <c r="G22" s="7" t="s">
        <v>3347</v>
      </c>
      <c r="H22" s="7">
        <f t="shared" si="0"/>
        <v>2</v>
      </c>
    </row>
    <row r="23" spans="1:8" ht="25" customHeight="1" x14ac:dyDescent="0.35">
      <c r="A23" s="7" t="s">
        <v>3348</v>
      </c>
      <c r="B23" s="7" t="s">
        <v>3349</v>
      </c>
      <c r="C23" s="7" t="s">
        <v>53</v>
      </c>
      <c r="D23" s="7">
        <v>6</v>
      </c>
      <c r="E23" s="7" t="s">
        <v>5</v>
      </c>
      <c r="F23" s="7" t="s">
        <v>3350</v>
      </c>
      <c r="G23" s="7" t="s">
        <v>3351</v>
      </c>
      <c r="H23" s="7">
        <f t="shared" si="0"/>
        <v>6</v>
      </c>
    </row>
    <row r="24" spans="1:8" ht="25" customHeight="1" x14ac:dyDescent="0.35">
      <c r="A24" s="7" t="s">
        <v>428</v>
      </c>
      <c r="B24" s="7" t="s">
        <v>429</v>
      </c>
      <c r="C24" s="7" t="s">
        <v>53</v>
      </c>
      <c r="D24" s="7">
        <v>6</v>
      </c>
      <c r="E24" s="7" t="s">
        <v>5</v>
      </c>
      <c r="F24" s="7" t="s">
        <v>3352</v>
      </c>
      <c r="G24" s="7" t="s">
        <v>3353</v>
      </c>
      <c r="H24" s="7">
        <f t="shared" si="0"/>
        <v>6</v>
      </c>
    </row>
    <row r="25" spans="1:8" ht="25" customHeight="1" x14ac:dyDescent="0.35">
      <c r="A25" s="7" t="s">
        <v>570</v>
      </c>
      <c r="B25" s="7" t="s">
        <v>571</v>
      </c>
      <c r="C25" s="7" t="s">
        <v>53</v>
      </c>
      <c r="D25" s="7">
        <v>2</v>
      </c>
      <c r="E25" s="7" t="s">
        <v>5</v>
      </c>
      <c r="F25" s="7" t="s">
        <v>602</v>
      </c>
      <c r="G25" s="7" t="s">
        <v>3354</v>
      </c>
      <c r="H25" s="7">
        <f t="shared" si="0"/>
        <v>2</v>
      </c>
    </row>
    <row r="26" spans="1:8" ht="25" customHeight="1" x14ac:dyDescent="0.35">
      <c r="A26" s="7" t="s">
        <v>3355</v>
      </c>
      <c r="B26" s="7" t="s">
        <v>3356</v>
      </c>
      <c r="C26" s="7" t="s">
        <v>4</v>
      </c>
      <c r="D26" s="7">
        <v>2</v>
      </c>
      <c r="E26" s="7" t="s">
        <v>5</v>
      </c>
      <c r="F26" s="7" t="s">
        <v>3357</v>
      </c>
      <c r="G26" s="7" t="s">
        <v>3358</v>
      </c>
      <c r="H26" s="7">
        <f t="shared" si="0"/>
        <v>2</v>
      </c>
    </row>
    <row r="27" spans="1:8" ht="25" customHeight="1" x14ac:dyDescent="0.35">
      <c r="A27" s="7" t="s">
        <v>300</v>
      </c>
      <c r="B27" s="7" t="s">
        <v>301</v>
      </c>
      <c r="C27" s="7" t="s">
        <v>4</v>
      </c>
      <c r="D27" s="7">
        <v>2</v>
      </c>
      <c r="E27" s="7" t="s">
        <v>5</v>
      </c>
      <c r="F27" s="7" t="s">
        <v>3359</v>
      </c>
      <c r="G27" s="7" t="s">
        <v>3360</v>
      </c>
      <c r="H27" s="7">
        <f t="shared" si="0"/>
        <v>2</v>
      </c>
    </row>
    <row r="28" spans="1:8" ht="25" customHeight="1" x14ac:dyDescent="0.35">
      <c r="A28" s="7" t="s">
        <v>3361</v>
      </c>
      <c r="B28" s="7" t="s">
        <v>3362</v>
      </c>
      <c r="C28" s="7" t="s">
        <v>4</v>
      </c>
      <c r="D28" s="7">
        <v>2</v>
      </c>
      <c r="E28" s="7" t="s">
        <v>5</v>
      </c>
      <c r="F28" s="7" t="s">
        <v>3359</v>
      </c>
      <c r="G28" s="7" t="s">
        <v>3360</v>
      </c>
      <c r="H28" s="7">
        <f t="shared" si="0"/>
        <v>2</v>
      </c>
    </row>
    <row r="29" spans="1:8" ht="25" customHeight="1" x14ac:dyDescent="0.35">
      <c r="A29" s="7" t="s">
        <v>3363</v>
      </c>
      <c r="B29" s="7" t="s">
        <v>3364</v>
      </c>
      <c r="C29" s="7" t="s">
        <v>4</v>
      </c>
      <c r="D29" s="7">
        <v>1</v>
      </c>
      <c r="E29" s="7" t="s">
        <v>5</v>
      </c>
      <c r="F29" s="7" t="s">
        <v>3365</v>
      </c>
      <c r="G29" s="7" t="s">
        <v>3365</v>
      </c>
      <c r="H29" s="7">
        <f t="shared" si="0"/>
        <v>1</v>
      </c>
    </row>
    <row r="30" spans="1:8" ht="25" customHeight="1" x14ac:dyDescent="0.35">
      <c r="A30" s="7" t="s">
        <v>1087</v>
      </c>
      <c r="B30" s="7" t="s">
        <v>1088</v>
      </c>
      <c r="C30" s="7" t="s">
        <v>4</v>
      </c>
      <c r="D30" s="7">
        <v>1</v>
      </c>
      <c r="E30" s="7" t="s">
        <v>5</v>
      </c>
      <c r="F30" s="7" t="s">
        <v>3366</v>
      </c>
      <c r="G30" s="7" t="s">
        <v>3366</v>
      </c>
      <c r="H30" s="7">
        <f t="shared" si="0"/>
        <v>1</v>
      </c>
    </row>
    <row r="31" spans="1:8" ht="25" customHeight="1" x14ac:dyDescent="0.35">
      <c r="A31" s="7" t="s">
        <v>380</v>
      </c>
      <c r="B31" s="7" t="s">
        <v>381</v>
      </c>
      <c r="C31" s="7" t="s">
        <v>53</v>
      </c>
      <c r="D31" s="7">
        <v>1</v>
      </c>
      <c r="E31" s="7" t="s">
        <v>5</v>
      </c>
      <c r="F31" s="7" t="s">
        <v>3367</v>
      </c>
      <c r="G31" s="7" t="s">
        <v>3367</v>
      </c>
      <c r="H31" s="7">
        <f t="shared" si="0"/>
        <v>1</v>
      </c>
    </row>
    <row r="32" spans="1:8" ht="25" customHeight="1" x14ac:dyDescent="0.35">
      <c r="A32" s="7" t="s">
        <v>383</v>
      </c>
      <c r="B32" s="7" t="s">
        <v>384</v>
      </c>
      <c r="C32" s="7" t="s">
        <v>4</v>
      </c>
      <c r="D32" s="7">
        <v>1</v>
      </c>
      <c r="E32" s="7" t="s">
        <v>5</v>
      </c>
      <c r="F32" s="7" t="s">
        <v>3368</v>
      </c>
      <c r="G32" s="7" t="s">
        <v>3368</v>
      </c>
      <c r="H32" s="7">
        <f t="shared" si="0"/>
        <v>1</v>
      </c>
    </row>
    <row r="33" spans="1:8" ht="25" customHeight="1" x14ac:dyDescent="0.35">
      <c r="A33" s="7" t="s">
        <v>1973</v>
      </c>
      <c r="B33" s="7" t="s">
        <v>1974</v>
      </c>
      <c r="C33" s="7" t="s">
        <v>53</v>
      </c>
      <c r="D33" s="7">
        <v>1</v>
      </c>
      <c r="E33" s="7" t="s">
        <v>5</v>
      </c>
      <c r="F33" s="7" t="s">
        <v>3369</v>
      </c>
      <c r="G33" s="7" t="s">
        <v>3369</v>
      </c>
      <c r="H33" s="7">
        <f t="shared" si="0"/>
        <v>1</v>
      </c>
    </row>
    <row r="34" spans="1:8" ht="25" customHeight="1" x14ac:dyDescent="0.35">
      <c r="A34" s="7" t="s">
        <v>188</v>
      </c>
      <c r="B34" s="7" t="s">
        <v>189</v>
      </c>
      <c r="C34" s="7" t="s">
        <v>53</v>
      </c>
      <c r="D34" s="7">
        <v>1</v>
      </c>
      <c r="E34" s="7" t="s">
        <v>5</v>
      </c>
      <c r="F34" s="7" t="s">
        <v>3370</v>
      </c>
      <c r="G34" s="7" t="s">
        <v>3370</v>
      </c>
      <c r="H34" s="7">
        <f t="shared" si="0"/>
        <v>1</v>
      </c>
    </row>
    <row r="35" spans="1:8" ht="25" customHeight="1" x14ac:dyDescent="0.35">
      <c r="A35" s="7" t="s">
        <v>442</v>
      </c>
      <c r="B35" s="7" t="s">
        <v>443</v>
      </c>
      <c r="C35" s="7" t="s">
        <v>53</v>
      </c>
      <c r="D35" s="7">
        <v>2</v>
      </c>
      <c r="E35" s="7" t="s">
        <v>5</v>
      </c>
      <c r="F35" s="7" t="s">
        <v>3371</v>
      </c>
      <c r="G35" s="7" t="s">
        <v>3372</v>
      </c>
      <c r="H35" s="7">
        <f t="shared" si="0"/>
        <v>2</v>
      </c>
    </row>
    <row r="36" spans="1:8" ht="25" customHeight="1" x14ac:dyDescent="0.35">
      <c r="A36" s="7" t="s">
        <v>3373</v>
      </c>
      <c r="B36" s="7" t="s">
        <v>3374</v>
      </c>
      <c r="C36" s="7" t="s">
        <v>53</v>
      </c>
      <c r="D36" s="7">
        <v>1</v>
      </c>
      <c r="E36" s="7" t="s">
        <v>5</v>
      </c>
      <c r="F36" s="7" t="s">
        <v>3375</v>
      </c>
      <c r="G36" s="7" t="s">
        <v>3375</v>
      </c>
      <c r="H36" s="7">
        <f t="shared" si="0"/>
        <v>1</v>
      </c>
    </row>
    <row r="37" spans="1:8" ht="25" customHeight="1" x14ac:dyDescent="0.35">
      <c r="A37" s="7" t="s">
        <v>2061</v>
      </c>
      <c r="B37" s="7" t="s">
        <v>2062</v>
      </c>
      <c r="C37" s="7" t="s">
        <v>4</v>
      </c>
      <c r="D37" s="7">
        <v>2</v>
      </c>
      <c r="E37" s="7" t="s">
        <v>5</v>
      </c>
      <c r="F37" s="7" t="s">
        <v>3376</v>
      </c>
      <c r="G37" s="7" t="s">
        <v>3377</v>
      </c>
      <c r="H37" s="7">
        <f t="shared" si="0"/>
        <v>2</v>
      </c>
    </row>
    <row r="38" spans="1:8" ht="25" customHeight="1" x14ac:dyDescent="0.35">
      <c r="A38" s="7" t="s">
        <v>3378</v>
      </c>
      <c r="B38" s="7" t="s">
        <v>3379</v>
      </c>
      <c r="C38" s="7" t="s">
        <v>4</v>
      </c>
      <c r="D38" s="7">
        <v>2</v>
      </c>
      <c r="E38" s="7" t="s">
        <v>5</v>
      </c>
      <c r="F38" s="7" t="s">
        <v>3380</v>
      </c>
      <c r="G38" s="7" t="s">
        <v>3381</v>
      </c>
      <c r="H38" s="7">
        <f t="shared" si="0"/>
        <v>2</v>
      </c>
    </row>
    <row r="39" spans="1:8" ht="25" customHeight="1" x14ac:dyDescent="0.35">
      <c r="A39" s="7" t="s">
        <v>3382</v>
      </c>
      <c r="B39" s="7" t="s">
        <v>3383</v>
      </c>
      <c r="C39" s="7" t="s">
        <v>53</v>
      </c>
      <c r="D39" s="7">
        <v>1</v>
      </c>
      <c r="E39" s="7" t="s">
        <v>5</v>
      </c>
      <c r="F39" s="7" t="s">
        <v>3384</v>
      </c>
      <c r="G39" s="7" t="s">
        <v>3384</v>
      </c>
      <c r="H39" s="7">
        <f t="shared" si="0"/>
        <v>1</v>
      </c>
    </row>
    <row r="40" spans="1:8" ht="25" customHeight="1" x14ac:dyDescent="0.35">
      <c r="A40" s="7" t="s">
        <v>2616</v>
      </c>
      <c r="B40" s="7" t="s">
        <v>2617</v>
      </c>
      <c r="C40" s="7" t="s">
        <v>4</v>
      </c>
      <c r="D40" s="7">
        <v>2</v>
      </c>
      <c r="E40" s="7" t="s">
        <v>5</v>
      </c>
      <c r="F40" s="7" t="s">
        <v>3385</v>
      </c>
      <c r="G40" s="7" t="s">
        <v>3386</v>
      </c>
      <c r="H40" s="7">
        <f t="shared" si="0"/>
        <v>2</v>
      </c>
    </row>
    <row r="41" spans="1:8" ht="25" customHeight="1" x14ac:dyDescent="0.35">
      <c r="A41" s="7" t="s">
        <v>3387</v>
      </c>
      <c r="B41" s="7" t="s">
        <v>3388</v>
      </c>
      <c r="C41" s="7" t="s">
        <v>4</v>
      </c>
      <c r="D41" s="7">
        <v>2</v>
      </c>
      <c r="E41" s="7" t="s">
        <v>5</v>
      </c>
      <c r="F41" s="7" t="s">
        <v>3389</v>
      </c>
      <c r="G41" s="7" t="s">
        <v>3390</v>
      </c>
      <c r="H41" s="7">
        <f t="shared" si="0"/>
        <v>2</v>
      </c>
    </row>
    <row r="42" spans="1:8" ht="25" customHeight="1" x14ac:dyDescent="0.35">
      <c r="A42" s="7" t="s">
        <v>3391</v>
      </c>
      <c r="B42" s="7" t="s">
        <v>3392</v>
      </c>
      <c r="C42" s="7" t="s">
        <v>4</v>
      </c>
      <c r="D42" s="7">
        <v>2</v>
      </c>
      <c r="E42" s="7" t="s">
        <v>5</v>
      </c>
      <c r="F42" s="7" t="s">
        <v>3393</v>
      </c>
      <c r="G42" s="7" t="s">
        <v>3394</v>
      </c>
      <c r="H42" s="7">
        <f t="shared" si="0"/>
        <v>2</v>
      </c>
    </row>
    <row r="43" spans="1:8" ht="25" customHeight="1" x14ac:dyDescent="0.35">
      <c r="A43" s="7" t="s">
        <v>3395</v>
      </c>
      <c r="B43" s="7" t="s">
        <v>3396</v>
      </c>
      <c r="C43" s="7" t="s">
        <v>4</v>
      </c>
      <c r="D43" s="7">
        <v>2</v>
      </c>
      <c r="E43" s="7" t="s">
        <v>5</v>
      </c>
      <c r="F43" s="7" t="s">
        <v>3397</v>
      </c>
      <c r="G43" s="7" t="s">
        <v>3398</v>
      </c>
      <c r="H43" s="7">
        <f t="shared" si="0"/>
        <v>2</v>
      </c>
    </row>
    <row r="44" spans="1:8" ht="25" customHeight="1" x14ac:dyDescent="0.35">
      <c r="A44" s="7" t="s">
        <v>3399</v>
      </c>
      <c r="B44" s="7" t="s">
        <v>3400</v>
      </c>
      <c r="C44" s="7" t="s">
        <v>4</v>
      </c>
      <c r="D44" s="7">
        <v>2</v>
      </c>
      <c r="E44" s="7" t="s">
        <v>5</v>
      </c>
      <c r="F44" s="7" t="s">
        <v>3401</v>
      </c>
      <c r="G44" s="7" t="s">
        <v>3402</v>
      </c>
      <c r="H44" s="7">
        <f t="shared" si="0"/>
        <v>2</v>
      </c>
    </row>
    <row r="45" spans="1:8" ht="25" customHeight="1" x14ac:dyDescent="0.35">
      <c r="A45" s="7" t="s">
        <v>3403</v>
      </c>
      <c r="B45" s="7" t="s">
        <v>3404</v>
      </c>
      <c r="C45" s="7" t="s">
        <v>4</v>
      </c>
      <c r="D45" s="7">
        <v>1</v>
      </c>
      <c r="E45" s="7" t="s">
        <v>5</v>
      </c>
      <c r="F45" s="7" t="s">
        <v>3405</v>
      </c>
      <c r="G45" s="7" t="s">
        <v>3405</v>
      </c>
      <c r="H45" s="7">
        <f t="shared" si="0"/>
        <v>1</v>
      </c>
    </row>
    <row r="46" spans="1:8" ht="25" customHeight="1" x14ac:dyDescent="0.35">
      <c r="A46" s="7" t="s">
        <v>3026</v>
      </c>
      <c r="B46" s="7" t="s">
        <v>3027</v>
      </c>
      <c r="C46" s="7" t="s">
        <v>4</v>
      </c>
      <c r="D46" s="7">
        <v>1</v>
      </c>
      <c r="E46" s="7" t="s">
        <v>5</v>
      </c>
      <c r="F46" s="7" t="s">
        <v>3406</v>
      </c>
      <c r="G46" s="7" t="s">
        <v>3406</v>
      </c>
      <c r="H46" s="7">
        <f t="shared" si="0"/>
        <v>1</v>
      </c>
    </row>
    <row r="47" spans="1:8" ht="25" customHeight="1" x14ac:dyDescent="0.35">
      <c r="A47" s="7" t="s">
        <v>3407</v>
      </c>
      <c r="B47" s="7" t="s">
        <v>3408</v>
      </c>
      <c r="C47" s="7" t="s">
        <v>4</v>
      </c>
      <c r="D47" s="7">
        <v>1</v>
      </c>
      <c r="E47" s="7" t="s">
        <v>5</v>
      </c>
      <c r="F47" s="7" t="s">
        <v>3409</v>
      </c>
      <c r="G47" s="7" t="s">
        <v>3409</v>
      </c>
      <c r="H47" s="7">
        <f t="shared" si="0"/>
        <v>1</v>
      </c>
    </row>
    <row r="48" spans="1:8" ht="25" customHeight="1" x14ac:dyDescent="0.35">
      <c r="A48" s="7" t="s">
        <v>860</v>
      </c>
      <c r="B48" s="7" t="s">
        <v>861</v>
      </c>
      <c r="C48" s="7" t="s">
        <v>4</v>
      </c>
      <c r="D48" s="7">
        <v>1</v>
      </c>
      <c r="E48" s="7" t="s">
        <v>5</v>
      </c>
      <c r="F48" s="7" t="s">
        <v>3410</v>
      </c>
      <c r="G48" s="7" t="s">
        <v>3410</v>
      </c>
      <c r="H48" s="7">
        <f t="shared" si="0"/>
        <v>1</v>
      </c>
    </row>
    <row r="49" spans="1:8" ht="25" customHeight="1" x14ac:dyDescent="0.35">
      <c r="A49" s="7" t="s">
        <v>3411</v>
      </c>
      <c r="B49" s="7" t="s">
        <v>3412</v>
      </c>
      <c r="C49" s="7" t="s">
        <v>4</v>
      </c>
      <c r="D49" s="7">
        <v>1</v>
      </c>
      <c r="E49" s="7" t="s">
        <v>5</v>
      </c>
      <c r="F49" s="7" t="s">
        <v>3413</v>
      </c>
      <c r="G49" s="7" t="s">
        <v>3413</v>
      </c>
      <c r="H49" s="7">
        <f t="shared" si="0"/>
        <v>1</v>
      </c>
    </row>
    <row r="50" spans="1:8" ht="25" customHeight="1" x14ac:dyDescent="0.35">
      <c r="A50" s="7" t="s">
        <v>3414</v>
      </c>
      <c r="B50" s="7" t="s">
        <v>3415</v>
      </c>
      <c r="C50" s="7" t="s">
        <v>4</v>
      </c>
      <c r="D50" s="7">
        <v>1</v>
      </c>
      <c r="E50" s="7" t="s">
        <v>5</v>
      </c>
      <c r="F50" s="7" t="s">
        <v>3393</v>
      </c>
      <c r="G50" s="7" t="s">
        <v>3393</v>
      </c>
      <c r="H50" s="7">
        <f t="shared" si="0"/>
        <v>1</v>
      </c>
    </row>
    <row r="51" spans="1:8" ht="25" customHeight="1" x14ac:dyDescent="0.35">
      <c r="A51" s="7" t="s">
        <v>1357</v>
      </c>
      <c r="B51" s="7" t="s">
        <v>1358</v>
      </c>
      <c r="C51" s="7" t="s">
        <v>4</v>
      </c>
      <c r="D51" s="7">
        <v>1</v>
      </c>
      <c r="E51" s="7" t="s">
        <v>5</v>
      </c>
      <c r="F51" s="7" t="s">
        <v>3416</v>
      </c>
      <c r="G51" s="7" t="s">
        <v>3416</v>
      </c>
      <c r="H51" s="7">
        <f t="shared" si="0"/>
        <v>1</v>
      </c>
    </row>
    <row r="52" spans="1:8" ht="25" customHeight="1" x14ac:dyDescent="0.35">
      <c r="A52" s="7" t="s">
        <v>3417</v>
      </c>
      <c r="B52" s="7" t="s">
        <v>3418</v>
      </c>
      <c r="C52" s="7" t="s">
        <v>4</v>
      </c>
      <c r="D52" s="7">
        <v>1</v>
      </c>
      <c r="E52" s="7" t="s">
        <v>5</v>
      </c>
      <c r="F52" s="7" t="s">
        <v>3419</v>
      </c>
      <c r="G52" s="7" t="s">
        <v>3419</v>
      </c>
      <c r="H52" s="7">
        <f t="shared" si="0"/>
        <v>1</v>
      </c>
    </row>
    <row r="53" spans="1:8" ht="25" customHeight="1" x14ac:dyDescent="0.35">
      <c r="A53" s="7" t="s">
        <v>3420</v>
      </c>
      <c r="B53" s="7" t="s">
        <v>3421</v>
      </c>
      <c r="C53" s="7" t="s">
        <v>4</v>
      </c>
      <c r="D53" s="7">
        <v>1</v>
      </c>
      <c r="E53" s="7" t="s">
        <v>5</v>
      </c>
      <c r="F53" s="7" t="s">
        <v>3422</v>
      </c>
      <c r="G53" s="7" t="s">
        <v>3422</v>
      </c>
      <c r="H53" s="7">
        <f t="shared" si="0"/>
        <v>1</v>
      </c>
    </row>
    <row r="54" spans="1:8" ht="25" customHeight="1" x14ac:dyDescent="0.35">
      <c r="A54" s="7" t="s">
        <v>3423</v>
      </c>
      <c r="B54" s="7" t="s">
        <v>3424</v>
      </c>
      <c r="C54" s="7" t="s">
        <v>4</v>
      </c>
      <c r="D54" s="7">
        <v>2</v>
      </c>
      <c r="E54" s="7" t="s">
        <v>5</v>
      </c>
      <c r="F54" s="7" t="s">
        <v>3425</v>
      </c>
      <c r="G54" s="7" t="s">
        <v>3426</v>
      </c>
      <c r="H54" s="7">
        <f t="shared" si="0"/>
        <v>2</v>
      </c>
    </row>
    <row r="55" spans="1:8" ht="25" customHeight="1" x14ac:dyDescent="0.35">
      <c r="A55" s="7" t="s">
        <v>3427</v>
      </c>
      <c r="B55" s="7" t="s">
        <v>3428</v>
      </c>
      <c r="C55" s="7" t="s">
        <v>4</v>
      </c>
      <c r="D55" s="7">
        <v>2</v>
      </c>
      <c r="E55" s="7" t="s">
        <v>5</v>
      </c>
      <c r="F55" s="7" t="s">
        <v>3429</v>
      </c>
      <c r="G55" s="7" t="s">
        <v>3430</v>
      </c>
      <c r="H55" s="7">
        <f t="shared" si="0"/>
        <v>2</v>
      </c>
    </row>
    <row r="56" spans="1:8" ht="25" customHeight="1" x14ac:dyDescent="0.35">
      <c r="A56" s="7" t="s">
        <v>3431</v>
      </c>
      <c r="B56" s="7" t="s">
        <v>3432</v>
      </c>
      <c r="C56" s="7" t="s">
        <v>4</v>
      </c>
      <c r="D56" s="7">
        <v>2</v>
      </c>
      <c r="E56" s="7" t="s">
        <v>5</v>
      </c>
      <c r="F56" s="7" t="s">
        <v>3433</v>
      </c>
      <c r="G56" s="7" t="s">
        <v>1167</v>
      </c>
      <c r="H56" s="7">
        <f t="shared" si="0"/>
        <v>2</v>
      </c>
    </row>
    <row r="57" spans="1:8" ht="25" customHeight="1" x14ac:dyDescent="0.35">
      <c r="A57" s="7" t="s">
        <v>3427</v>
      </c>
      <c r="B57" s="7" t="s">
        <v>3428</v>
      </c>
      <c r="C57" s="7" t="s">
        <v>4</v>
      </c>
      <c r="D57" s="7">
        <v>2</v>
      </c>
      <c r="E57" s="7" t="s">
        <v>5</v>
      </c>
      <c r="F57" s="7" t="s">
        <v>3429</v>
      </c>
      <c r="G57" s="7" t="s">
        <v>3430</v>
      </c>
      <c r="H57" s="7">
        <f t="shared" si="0"/>
        <v>2</v>
      </c>
    </row>
    <row r="58" spans="1:8" ht="25" customHeight="1" x14ac:dyDescent="0.35">
      <c r="A58" s="7" t="s">
        <v>3434</v>
      </c>
      <c r="B58" s="7" t="s">
        <v>3435</v>
      </c>
      <c r="C58" s="7" t="s">
        <v>4</v>
      </c>
      <c r="D58" s="7">
        <v>2</v>
      </c>
      <c r="E58" s="7" t="s">
        <v>5</v>
      </c>
      <c r="F58" s="7" t="s">
        <v>3436</v>
      </c>
      <c r="G58" s="7" t="s">
        <v>3437</v>
      </c>
      <c r="H58" s="7">
        <f t="shared" si="0"/>
        <v>2</v>
      </c>
    </row>
    <row r="59" spans="1:8" ht="25" customHeight="1" x14ac:dyDescent="0.35">
      <c r="A59" s="7" t="s">
        <v>3438</v>
      </c>
      <c r="B59" s="7" t="s">
        <v>3439</v>
      </c>
      <c r="C59" s="7" t="s">
        <v>4</v>
      </c>
      <c r="D59" s="7">
        <v>2</v>
      </c>
      <c r="E59" s="7" t="s">
        <v>5</v>
      </c>
      <c r="F59" s="7" t="s">
        <v>3440</v>
      </c>
      <c r="G59" s="7" t="s">
        <v>3441</v>
      </c>
      <c r="H59" s="7">
        <f t="shared" si="0"/>
        <v>2</v>
      </c>
    </row>
    <row r="60" spans="1:8" ht="25" customHeight="1" x14ac:dyDescent="0.35">
      <c r="A60" s="7" t="s">
        <v>462</v>
      </c>
      <c r="B60" s="7" t="s">
        <v>463</v>
      </c>
      <c r="C60" s="7" t="s">
        <v>4</v>
      </c>
      <c r="D60" s="7">
        <v>2</v>
      </c>
      <c r="E60" s="7" t="s">
        <v>5</v>
      </c>
      <c r="F60" s="7" t="s">
        <v>3318</v>
      </c>
      <c r="G60" s="7" t="s">
        <v>3442</v>
      </c>
      <c r="H60" s="7">
        <f t="shared" si="0"/>
        <v>2</v>
      </c>
    </row>
    <row r="61" spans="1:8" ht="25" customHeight="1" x14ac:dyDescent="0.35">
      <c r="A61" s="7" t="s">
        <v>3443</v>
      </c>
      <c r="B61" s="7" t="s">
        <v>3444</v>
      </c>
      <c r="C61" s="7" t="s">
        <v>4</v>
      </c>
      <c r="D61" s="7">
        <v>2</v>
      </c>
      <c r="E61" s="7" t="s">
        <v>5</v>
      </c>
      <c r="F61" s="7" t="s">
        <v>3445</v>
      </c>
      <c r="G61" s="7" t="s">
        <v>3446</v>
      </c>
      <c r="H61" s="7">
        <f t="shared" si="0"/>
        <v>2</v>
      </c>
    </row>
    <row r="62" spans="1:8" ht="25" customHeight="1" x14ac:dyDescent="0.35">
      <c r="A62" s="7" t="s">
        <v>3447</v>
      </c>
      <c r="B62" s="7" t="s">
        <v>3448</v>
      </c>
      <c r="C62" s="7" t="s">
        <v>4</v>
      </c>
      <c r="D62" s="7">
        <v>2</v>
      </c>
      <c r="E62" s="7" t="s">
        <v>5</v>
      </c>
      <c r="F62" s="7" t="s">
        <v>3449</v>
      </c>
      <c r="G62" s="7" t="s">
        <v>3450</v>
      </c>
      <c r="H62" s="7">
        <f t="shared" si="0"/>
        <v>2</v>
      </c>
    </row>
    <row r="63" spans="1:8" ht="25" customHeight="1" x14ac:dyDescent="0.35">
      <c r="A63" s="7" t="s">
        <v>3451</v>
      </c>
      <c r="B63" s="7" t="s">
        <v>3452</v>
      </c>
      <c r="C63" s="7" t="s">
        <v>4</v>
      </c>
      <c r="D63" s="7">
        <v>2</v>
      </c>
      <c r="E63" s="7" t="s">
        <v>5</v>
      </c>
      <c r="F63" s="7" t="s">
        <v>3453</v>
      </c>
      <c r="G63" s="7" t="s">
        <v>3454</v>
      </c>
      <c r="H63" s="7">
        <f t="shared" si="0"/>
        <v>2</v>
      </c>
    </row>
    <row r="64" spans="1:8" ht="25" customHeight="1" x14ac:dyDescent="0.35">
      <c r="A64" s="7" t="s">
        <v>3455</v>
      </c>
      <c r="B64" s="7" t="s">
        <v>3456</v>
      </c>
      <c r="C64" s="7" t="s">
        <v>4</v>
      </c>
      <c r="D64" s="7">
        <v>2</v>
      </c>
      <c r="E64" s="7" t="s">
        <v>5</v>
      </c>
      <c r="F64" s="7" t="s">
        <v>3457</v>
      </c>
      <c r="G64" s="7" t="s">
        <v>3458</v>
      </c>
      <c r="H64" s="7">
        <f t="shared" si="0"/>
        <v>2</v>
      </c>
    </row>
    <row r="65" spans="1:8" ht="25" customHeight="1" x14ac:dyDescent="0.35">
      <c r="A65" s="7" t="s">
        <v>3459</v>
      </c>
      <c r="B65" s="7" t="s">
        <v>3460</v>
      </c>
      <c r="C65" s="7" t="s">
        <v>4</v>
      </c>
      <c r="D65" s="7">
        <v>1</v>
      </c>
      <c r="E65" s="7" t="s">
        <v>5</v>
      </c>
      <c r="F65" s="7" t="s">
        <v>3461</v>
      </c>
      <c r="G65" s="7" t="s">
        <v>3461</v>
      </c>
      <c r="H65" s="7">
        <f t="shared" si="0"/>
        <v>1</v>
      </c>
    </row>
    <row r="66" spans="1:8" ht="25" customHeight="1" x14ac:dyDescent="0.35">
      <c r="A66" s="7" t="s">
        <v>126</v>
      </c>
      <c r="B66" s="7" t="s">
        <v>127</v>
      </c>
      <c r="C66" s="7" t="s">
        <v>4</v>
      </c>
      <c r="D66" s="7">
        <v>1</v>
      </c>
      <c r="E66" s="7" t="s">
        <v>5</v>
      </c>
      <c r="F66" s="7" t="s">
        <v>3462</v>
      </c>
      <c r="G66" s="7" t="s">
        <v>3462</v>
      </c>
      <c r="H66" s="7">
        <f t="shared" si="0"/>
        <v>1</v>
      </c>
    </row>
    <row r="67" spans="1:8" ht="25" customHeight="1" x14ac:dyDescent="0.35">
      <c r="A67" s="7" t="s">
        <v>3463</v>
      </c>
      <c r="B67" s="7" t="s">
        <v>3464</v>
      </c>
      <c r="C67" s="7" t="s">
        <v>4</v>
      </c>
      <c r="D67" s="7">
        <v>2</v>
      </c>
      <c r="E67" s="7" t="s">
        <v>5</v>
      </c>
      <c r="F67" s="7" t="s">
        <v>3465</v>
      </c>
      <c r="G67" s="7" t="s">
        <v>3466</v>
      </c>
      <c r="H67" s="7">
        <f t="shared" ref="H67:H75" si="1">D67/1</f>
        <v>2</v>
      </c>
    </row>
    <row r="68" spans="1:8" ht="25" customHeight="1" x14ac:dyDescent="0.35">
      <c r="A68" s="7" t="s">
        <v>3467</v>
      </c>
      <c r="B68" s="7" t="s">
        <v>3468</v>
      </c>
      <c r="C68" s="7" t="s">
        <v>4</v>
      </c>
      <c r="D68" s="7">
        <v>1</v>
      </c>
      <c r="E68" s="7" t="s">
        <v>5</v>
      </c>
      <c r="F68" s="7" t="s">
        <v>3469</v>
      </c>
      <c r="G68" s="7" t="s">
        <v>3469</v>
      </c>
      <c r="H68" s="7">
        <f t="shared" si="1"/>
        <v>1</v>
      </c>
    </row>
    <row r="69" spans="1:8" ht="25" customHeight="1" x14ac:dyDescent="0.35">
      <c r="A69" s="7" t="s">
        <v>1353</v>
      </c>
      <c r="B69" s="7" t="s">
        <v>1354</v>
      </c>
      <c r="C69" s="7" t="s">
        <v>4</v>
      </c>
      <c r="D69" s="7">
        <v>1</v>
      </c>
      <c r="E69" s="7" t="s">
        <v>5</v>
      </c>
      <c r="F69" s="7" t="s">
        <v>3470</v>
      </c>
      <c r="G69" s="7" t="s">
        <v>3470</v>
      </c>
      <c r="H69" s="7">
        <f t="shared" si="1"/>
        <v>1</v>
      </c>
    </row>
    <row r="70" spans="1:8" ht="25" customHeight="1" x14ac:dyDescent="0.35">
      <c r="A70" s="7" t="s">
        <v>1130</v>
      </c>
      <c r="B70" s="7" t="s">
        <v>1131</v>
      </c>
      <c r="C70" s="7" t="s">
        <v>4</v>
      </c>
      <c r="D70" s="7">
        <v>1</v>
      </c>
      <c r="E70" s="7" t="s">
        <v>5</v>
      </c>
      <c r="F70" s="7" t="s">
        <v>3471</v>
      </c>
      <c r="G70" s="7" t="s">
        <v>3471</v>
      </c>
      <c r="H70" s="7">
        <f t="shared" si="1"/>
        <v>1</v>
      </c>
    </row>
    <row r="71" spans="1:8" ht="25" customHeight="1" x14ac:dyDescent="0.35">
      <c r="A71" s="7" t="s">
        <v>498</v>
      </c>
      <c r="B71" s="7" t="s">
        <v>499</v>
      </c>
      <c r="C71" s="7" t="s">
        <v>500</v>
      </c>
      <c r="D71" s="7">
        <v>1</v>
      </c>
      <c r="E71" s="7" t="s">
        <v>5</v>
      </c>
      <c r="F71" s="7" t="s">
        <v>3472</v>
      </c>
      <c r="G71" s="7" t="s">
        <v>3472</v>
      </c>
      <c r="H71" s="7">
        <f t="shared" si="1"/>
        <v>1</v>
      </c>
    </row>
    <row r="72" spans="1:8" ht="25" customHeight="1" x14ac:dyDescent="0.35">
      <c r="A72" s="7" t="s">
        <v>3473</v>
      </c>
      <c r="B72" s="7" t="s">
        <v>3474</v>
      </c>
      <c r="C72" s="7" t="s">
        <v>4</v>
      </c>
      <c r="D72" s="7">
        <v>2</v>
      </c>
      <c r="E72" s="7" t="s">
        <v>5</v>
      </c>
      <c r="F72" s="7" t="s">
        <v>3475</v>
      </c>
      <c r="G72" s="7" t="s">
        <v>3476</v>
      </c>
      <c r="H72" s="7">
        <f t="shared" si="1"/>
        <v>2</v>
      </c>
    </row>
    <row r="73" spans="1:8" ht="25" customHeight="1" x14ac:dyDescent="0.35">
      <c r="A73" s="7" t="s">
        <v>531</v>
      </c>
      <c r="B73" s="7" t="s">
        <v>532</v>
      </c>
      <c r="C73" s="7" t="s">
        <v>4</v>
      </c>
      <c r="D73" s="7">
        <v>1</v>
      </c>
      <c r="E73" s="7" t="s">
        <v>5</v>
      </c>
      <c r="F73" s="7" t="s">
        <v>3477</v>
      </c>
      <c r="G73" s="7" t="s">
        <v>3477</v>
      </c>
      <c r="H73" s="7">
        <f t="shared" si="1"/>
        <v>1</v>
      </c>
    </row>
    <row r="74" spans="1:8" ht="25" customHeight="1" x14ac:dyDescent="0.35">
      <c r="A74" s="7" t="s">
        <v>3266</v>
      </c>
      <c r="B74" s="7" t="s">
        <v>3267</v>
      </c>
      <c r="C74" s="7" t="s">
        <v>4</v>
      </c>
      <c r="D74" s="7">
        <v>1</v>
      </c>
      <c r="E74" s="7" t="s">
        <v>5</v>
      </c>
      <c r="F74" s="7" t="s">
        <v>3478</v>
      </c>
      <c r="G74" s="7" t="s">
        <v>3478</v>
      </c>
      <c r="H74" s="7">
        <f t="shared" si="1"/>
        <v>1</v>
      </c>
    </row>
    <row r="75" spans="1:8" ht="25" customHeight="1" x14ac:dyDescent="0.35">
      <c r="A75" s="7" t="s">
        <v>268</v>
      </c>
      <c r="B75" s="7" t="s">
        <v>269</v>
      </c>
      <c r="C75" s="7" t="s">
        <v>4</v>
      </c>
      <c r="D75" s="7">
        <v>1</v>
      </c>
      <c r="E75" s="7" t="s">
        <v>5</v>
      </c>
      <c r="F75" s="7" t="s">
        <v>3479</v>
      </c>
      <c r="G75" s="7" t="s">
        <v>3479</v>
      </c>
      <c r="H75" s="7">
        <f t="shared" si="1"/>
        <v>1</v>
      </c>
    </row>
    <row r="76" spans="1:8" x14ac:dyDescent="0.35">
      <c r="G76" s="2" t="s">
        <v>3496</v>
      </c>
      <c r="H76" s="2">
        <f>SUM(H2:H75)</f>
        <v>127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&amp;CPage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AAF6C1-6CB2-4710-BFBC-6C3964C939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1.Self-Retain</vt:lpstr>
      <vt:lpstr>2.Aorta Set</vt:lpstr>
      <vt:lpstr>3.Pediatric Thoracic</vt:lpstr>
      <vt:lpstr>4.Extra Vascular</vt:lpstr>
      <vt:lpstr>5.Hysterectomy</vt:lpstr>
      <vt:lpstr>6.Caesarean Set</vt:lpstr>
      <vt:lpstr>9.Hand Surgery </vt:lpstr>
      <vt:lpstr>10.General Plastic</vt:lpstr>
      <vt:lpstr>11.Basic Instr.</vt:lpstr>
      <vt:lpstr>12.Micro Instr. </vt:lpstr>
      <vt:lpstr>13.Maxillofac. Surg.</vt:lpstr>
      <vt:lpstr>14.Maxillofacial Instrument</vt:lpstr>
      <vt:lpstr>15.Cleft Lip</vt:lpstr>
      <vt:lpstr>16.Craniofacial</vt:lpstr>
      <vt:lpstr>17.Rhinoplasty</vt:lpstr>
      <vt:lpstr>18.NEU Cervical Set</vt:lpstr>
      <vt:lpstr>19.Set for Septum </vt:lpstr>
      <vt:lpstr>20.Tracheostomy</vt:lpstr>
      <vt:lpstr>21.Anal Set.</vt:lpstr>
      <vt:lpstr>22.NEU BRAIN SET.</vt:lpstr>
      <vt:lpstr>23.NEU Lumber Set.</vt:lpstr>
      <vt:lpstr>25.Basic Vascular Renal </vt:lpstr>
      <vt:lpstr>'1.Self-Retain'!Print_Area</vt:lpstr>
      <vt:lpstr>'10.General Plastic'!Print_Area</vt:lpstr>
      <vt:lpstr>'11.Basic Instr.'!Print_Area</vt:lpstr>
      <vt:lpstr>'12.Micro Instr. '!Print_Area</vt:lpstr>
      <vt:lpstr>'13.Maxillofac. Surg.'!Print_Area</vt:lpstr>
      <vt:lpstr>'14.Maxillofacial Instrument'!Print_Area</vt:lpstr>
      <vt:lpstr>'15.Cleft Lip'!Print_Area</vt:lpstr>
      <vt:lpstr>'16.Craniofacial'!Print_Area</vt:lpstr>
      <vt:lpstr>'17.Rhinoplasty'!Print_Area</vt:lpstr>
      <vt:lpstr>'18.NEU Cervical Set'!Print_Area</vt:lpstr>
      <vt:lpstr>'19.Set for Septum '!Print_Area</vt:lpstr>
      <vt:lpstr>'2.Aorta Set'!Print_Area</vt:lpstr>
      <vt:lpstr>'20.Tracheostomy'!Print_Area</vt:lpstr>
      <vt:lpstr>'21.Anal Set.'!Print_Area</vt:lpstr>
      <vt:lpstr>'22.NEU BRAIN SET.'!Print_Area</vt:lpstr>
      <vt:lpstr>'23.NEU Lumber Set.'!Print_Area</vt:lpstr>
      <vt:lpstr>'25.Basic Vascular Renal '!Print_Area</vt:lpstr>
      <vt:lpstr>'3.Pediatric Thoracic'!Print_Area</vt:lpstr>
      <vt:lpstr>'4.Extra Vascular'!Print_Area</vt:lpstr>
      <vt:lpstr>'5.Hysterectomy'!Print_Area</vt:lpstr>
      <vt:lpstr>'6.Caesarean Set'!Print_Area</vt:lpstr>
      <vt:lpstr>'9.Hand Surgery '!Print_Area</vt:lpstr>
    </vt:vector>
  </TitlesOfParts>
  <Company>KLS Martin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Nenovici, Kristina</dc:creator>
  <cp:lastModifiedBy>Albear Emil</cp:lastModifiedBy>
  <cp:lastPrinted>2026-02-01T09:52:10Z</cp:lastPrinted>
  <dcterms:created xsi:type="dcterms:W3CDTF">2025-12-16T08:22:25Z</dcterms:created>
  <dcterms:modified xsi:type="dcterms:W3CDTF">2026-02-11T09:28:11Z</dcterms:modified>
</cp:coreProperties>
</file>